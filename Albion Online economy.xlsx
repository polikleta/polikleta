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ik\Desktop\github nowe\Excel\"/>
    </mc:Choice>
  </mc:AlternateContent>
  <xr:revisionPtr revIDLastSave="0" documentId="13_ncr:1_{224EFDC6-2546-40C6-B3DA-5FAD6F65567D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tems crafting" sheetId="4" r:id="rId1"/>
    <sheet name="Island" sheetId="6" r:id="rId2"/>
    <sheet name="Teleport + taxes" sheetId="7" r:id="rId3"/>
    <sheet name="Content settlement" sheetId="8" r:id="rId4"/>
    <sheet name="Caerleon Transport" sheetId="9" r:id="rId5"/>
    <sheet name="All other things" sheetId="5" r:id="rId6"/>
    <sheet name="Resource Price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1" l="1"/>
  <c r="D17" i="11"/>
  <c r="D18" i="11" s="1"/>
  <c r="C16" i="11"/>
  <c r="C15" i="11"/>
  <c r="C14" i="11"/>
  <c r="D20" i="11" l="1"/>
  <c r="D21" i="11" s="1"/>
  <c r="N27" i="5"/>
  <c r="E32" i="5"/>
  <c r="G32" i="5" s="1"/>
  <c r="E33" i="5"/>
  <c r="G33" i="5" s="1"/>
  <c r="E31" i="5"/>
  <c r="G31" i="5" s="1"/>
  <c r="E30" i="5"/>
  <c r="G30" i="5" s="1"/>
  <c r="E25" i="5"/>
  <c r="G25" i="5" s="1"/>
  <c r="E26" i="5"/>
  <c r="G26" i="5" s="1"/>
  <c r="E24" i="5"/>
  <c r="G24" i="5" s="1"/>
  <c r="E23" i="5"/>
  <c r="G23" i="5" s="1"/>
  <c r="E10" i="9"/>
  <c r="E11" i="9"/>
  <c r="E12" i="9"/>
  <c r="E13" i="9"/>
  <c r="E9" i="9"/>
  <c r="E15" i="9"/>
  <c r="G13" i="8"/>
  <c r="F13" i="8"/>
  <c r="E13" i="8"/>
  <c r="D13" i="8"/>
  <c r="H13" i="8" s="1"/>
  <c r="G12" i="7"/>
  <c r="G13" i="7"/>
  <c r="G14" i="7"/>
  <c r="G11" i="7"/>
  <c r="E14" i="7"/>
  <c r="F14" i="7" s="1"/>
  <c r="D14" i="7"/>
  <c r="F13" i="7"/>
  <c r="E17" i="7" s="1"/>
  <c r="F17" i="7" s="1"/>
  <c r="F12" i="7"/>
  <c r="F11" i="7"/>
  <c r="E11" i="7"/>
  <c r="D11" i="7"/>
  <c r="L20" i="5"/>
  <c r="N20" i="5" s="1"/>
  <c r="L19" i="5"/>
  <c r="N19" i="5" s="1"/>
  <c r="L18" i="5"/>
  <c r="N18" i="5" s="1"/>
  <c r="L17" i="5"/>
  <c r="N17" i="5" s="1"/>
  <c r="N13" i="6"/>
  <c r="N15" i="6" s="1"/>
  <c r="N14" i="6"/>
  <c r="N16" i="6"/>
  <c r="N17" i="6" s="1"/>
  <c r="G22" i="6" s="1"/>
  <c r="M13" i="6"/>
  <c r="L14" i="6"/>
  <c r="I14" i="6"/>
  <c r="I13" i="6"/>
  <c r="I16" i="6" s="1"/>
  <c r="I17" i="6" s="1"/>
  <c r="H15" i="6"/>
  <c r="I15" i="6" s="1"/>
  <c r="E10" i="5"/>
  <c r="E9" i="5"/>
  <c r="M11" i="5"/>
  <c r="L11" i="5"/>
  <c r="M10" i="5"/>
  <c r="L10" i="5"/>
  <c r="K10" i="5"/>
  <c r="G13" i="5"/>
  <c r="F13" i="5"/>
  <c r="G12" i="5"/>
  <c r="E13" i="5"/>
  <c r="D17" i="5" s="1"/>
  <c r="A28" i="4"/>
  <c r="A27" i="4"/>
  <c r="A26" i="4"/>
  <c r="A25" i="4"/>
  <c r="A24" i="4"/>
  <c r="A23" i="4"/>
  <c r="A22" i="4"/>
  <c r="A21" i="4"/>
  <c r="H10" i="4"/>
  <c r="I13" i="4"/>
  <c r="J28" i="4"/>
  <c r="I28" i="4"/>
  <c r="G28" i="4"/>
  <c r="K27" i="4"/>
  <c r="G27" i="4"/>
  <c r="L27" i="4" s="1"/>
  <c r="K26" i="4"/>
  <c r="G26" i="4"/>
  <c r="L26" i="4" s="1"/>
  <c r="K25" i="4"/>
  <c r="G25" i="4"/>
  <c r="L25" i="4" s="1"/>
  <c r="K24" i="4"/>
  <c r="G24" i="4"/>
  <c r="L24" i="4" s="1"/>
  <c r="K23" i="4"/>
  <c r="G23" i="4"/>
  <c r="L23" i="4" s="1"/>
  <c r="K22" i="4"/>
  <c r="G22" i="4"/>
  <c r="L22" i="4" s="1"/>
  <c r="K21" i="4"/>
  <c r="H21" i="4"/>
  <c r="F21" i="4"/>
  <c r="G21" i="4" s="1"/>
  <c r="L21" i="4" s="1"/>
  <c r="G14" i="8" l="1"/>
  <c r="F14" i="8"/>
  <c r="E14" i="8"/>
  <c r="D14" i="8"/>
  <c r="N10" i="5"/>
  <c r="N11" i="5"/>
  <c r="D12" i="5"/>
  <c r="E12" i="5"/>
  <c r="F12" i="5"/>
  <c r="D13" i="5"/>
  <c r="M28" i="4"/>
  <c r="K28" i="4"/>
  <c r="L28" i="4"/>
  <c r="N28" i="4" s="1"/>
  <c r="O28" i="4" s="1"/>
  <c r="M21" i="4"/>
  <c r="N21" i="4" s="1"/>
  <c r="O21" i="4" s="1"/>
  <c r="M23" i="4"/>
  <c r="M25" i="4"/>
  <c r="N25" i="4" s="1"/>
  <c r="O25" i="4" s="1"/>
  <c r="M27" i="4"/>
  <c r="N27" i="4" s="1"/>
  <c r="O27" i="4" s="1"/>
  <c r="M22" i="4"/>
  <c r="N22" i="4" s="1"/>
  <c r="O22" i="4" s="1"/>
  <c r="M24" i="4"/>
  <c r="N24" i="4" s="1"/>
  <c r="O24" i="4" s="1"/>
  <c r="M26" i="4"/>
  <c r="N26" i="4" s="1"/>
  <c r="O26" i="4" s="1"/>
  <c r="H14" i="8" l="1"/>
  <c r="F17" i="5"/>
  <c r="N23" i="4"/>
  <c r="O2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tc={94FEFAD9-15C8-4303-B882-05A8CB24E31A}</author>
    <author>tc={11C17E9F-4144-4651-AD53-6C431F0AEC68}</author>
    <author>tc={AC62B8E7-35E8-4A0D-87E2-072D2685BB92}</author>
    <author>tc={BE130C1A-DFA9-40A4-9000-21D34494E3D7}</author>
    <author>tc={220D58C2-4FEB-4387-91DE-BA6908E1CBD7}</author>
    <author>tc={30C39DFA-48D9-4CCF-A7E5-6AC3430C0581}</author>
  </authors>
  <commentList>
    <comment ref="A7" authorId="0" shapeId="0" xr:uid="{94FEFAD9-15C8-4303-B882-05A8CB24E31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Its average quality, because each one item have its own quality craft chance that depends mostly on food and specs. It uses Best specs on tree</t>
      </text>
    </comment>
    <comment ref="H8" authorId="1" shapeId="0" xr:uid="{11C17E9F-4144-4651-AD53-6C431F0AEC6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Table of taxes used to calculate profit after selling items on market where is fee (1-&gt; 4% during „quicksell” and second when its „sell order”</t>
      </text>
    </comment>
    <comment ref="H20" authorId="2" shapeId="0" xr:uid="{AC62B8E7-35E8-4A0D-87E2-072D2685BB92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Players can put fees for crafting at their stations</t>
      </text>
    </comment>
    <comment ref="K20" authorId="3" shapeId="0" xr:uid="{BE130C1A-DFA9-40A4-9000-21D34494E3D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You can earn some extra money when you craft with jourlans (optional)</t>
      </text>
    </comment>
    <comment ref="N20" authorId="4" shapeId="0" xr:uid="{220D58C2-4FEB-4387-91DE-BA6908E1CBD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You should check if item give per 3 days enough silver, not just % of earnings</t>
      </text>
    </comment>
    <comment ref="O20" authorId="5" shapeId="0" xr:uid="{30C39DFA-48D9-4CCF-A7E5-6AC3430C0581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It shows % of earnings, usefull when you want to maximize profit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tc={6A4BB842-F0F0-4415-B939-BFB2A5E7A13B}</author>
  </authors>
  <commentList>
    <comment ref="E7" authorId="0" shapeId="0" xr:uid="{6A4BB842-F0F0-4415-B939-BFB2A5E7A13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Average price that you lose when dying with Ox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tc={4119C5A5-2F3F-415A-A699-E7E27EF514BF}</author>
    <author>tc={DF36C07A-458F-4993-BD81-403CD42E45E5}</author>
    <author>tc={93103AF0-9E46-426D-B14A-CE39D79ABD86}</author>
    <author>tc={0EC02A95-600D-4630-B78D-5BB0E117F304}</author>
  </authors>
  <commentList>
    <comment ref="L10" authorId="0" shapeId="0" xr:uid="{4119C5A5-2F3F-415A-A699-E7E27EF514B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One of types of food</t>
      </text>
    </comment>
    <comment ref="L11" authorId="1" shapeId="0" xr:uid="{DF36C07A-458F-4993-BD81-403CD42E45E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Second type</t>
      </text>
    </comment>
    <comment ref="D17" authorId="2" shapeId="0" xr:uid="{93103AF0-9E46-426D-B14A-CE39D79ABD8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We can choose any part of F11:I11</t>
      </text>
    </comment>
    <comment ref="F17" authorId="3" shapeId="0" xr:uid="{0EC02A95-600D-4630-B78D-5BB0E117F304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It could be easier :c</t>
      </text>
    </comment>
  </commentList>
</comments>
</file>

<file path=xl/sharedStrings.xml><?xml version="1.0" encoding="utf-8"?>
<sst xmlns="http://schemas.openxmlformats.org/spreadsheetml/2006/main" count="159" uniqueCount="129">
  <si>
    <t>t4</t>
  </si>
  <si>
    <t>t5</t>
  </si>
  <si>
    <t>t3</t>
  </si>
  <si>
    <t>t2</t>
  </si>
  <si>
    <t>4.2</t>
  </si>
  <si>
    <t>5.2</t>
  </si>
  <si>
    <t>T5</t>
  </si>
  <si>
    <t>T6</t>
  </si>
  <si>
    <t>T7</t>
  </si>
  <si>
    <t>items craft (average profit)</t>
  </si>
  <si>
    <t>quality table (average)</t>
  </si>
  <si>
    <t>Chests crafting</t>
  </si>
  <si>
    <t>Quick reckoning for party</t>
  </si>
  <si>
    <t>Taxes</t>
  </si>
  <si>
    <t>masterpiece</t>
  </si>
  <si>
    <t>outstanding</t>
  </si>
  <si>
    <t>excellent</t>
  </si>
  <si>
    <t>good</t>
  </si>
  <si>
    <t>normal</t>
  </si>
  <si>
    <t>item name</t>
  </si>
  <si>
    <t>resource nr.1</t>
  </si>
  <si>
    <t>resource nr.2</t>
  </si>
  <si>
    <t>Food</t>
  </si>
  <si>
    <t>focus usage</t>
  </si>
  <si>
    <t>number of items</t>
  </si>
  <si>
    <t>plot fee</t>
  </si>
  <si>
    <t>journal price (empty)</t>
  </si>
  <si>
    <t>journal price (full)</t>
  </si>
  <si>
    <t>journal profit</t>
  </si>
  <si>
    <t>craft cost</t>
  </si>
  <si>
    <t>sell price</t>
  </si>
  <si>
    <t>profit</t>
  </si>
  <si>
    <t>profit (%)</t>
  </si>
  <si>
    <t>% of plot refund</t>
  </si>
  <si>
    <t>Table of crafting items with focus usage (calculating profit per 3 days)</t>
  </si>
  <si>
    <t>base cost</t>
  </si>
  <si>
    <t>1x part</t>
  </si>
  <si>
    <t>2x part</t>
  </si>
  <si>
    <t>3x part</t>
  </si>
  <si>
    <t>4x part</t>
  </si>
  <si>
    <t>Craft sale</t>
  </si>
  <si>
    <t>Return</t>
  </si>
  <si>
    <t>Buy price</t>
  </si>
  <si>
    <t>Item upgrade profit with runes</t>
  </si>
  <si>
    <t>Food crafting with focus</t>
  </si>
  <si>
    <t>Sell price</t>
  </si>
  <si>
    <t>Profit</t>
  </si>
  <si>
    <t>Island profit with workers (upgrading method of T7 fishermans)</t>
  </si>
  <si>
    <t>Prices</t>
  </si>
  <si>
    <t>Name</t>
  </si>
  <si>
    <t>Tables</t>
  </si>
  <si>
    <t>Ammount</t>
  </si>
  <si>
    <t>Total price</t>
  </si>
  <si>
    <t>Beds</t>
  </si>
  <si>
    <t>Trophies</t>
  </si>
  <si>
    <t>Sum:</t>
  </si>
  <si>
    <t>Refund:</t>
  </si>
  <si>
    <t>Fee:</t>
  </si>
  <si>
    <t>One island building price</t>
  </si>
  <si>
    <t>Price</t>
  </si>
  <si>
    <t>T6 fisherman</t>
  </si>
  <si>
    <t>journals (11)</t>
  </si>
  <si>
    <t>T7 Fisherman</t>
  </si>
  <si>
    <t>Number of islands:</t>
  </si>
  <si>
    <t>Time required to fill island:</t>
  </si>
  <si>
    <t>Total profit (per day):</t>
  </si>
  <si>
    <t>One island refilling costs and profit</t>
  </si>
  <si>
    <t>Tier</t>
  </si>
  <si>
    <t>Craft price</t>
  </si>
  <si>
    <t>profit %</t>
  </si>
  <si>
    <t>Market</t>
  </si>
  <si>
    <t>Buy order</t>
  </si>
  <si>
    <t>Sell order</t>
  </si>
  <si>
    <t>Both</t>
  </si>
  <si>
    <t>None</t>
  </si>
  <si>
    <t>Transport (2x city)</t>
  </si>
  <si>
    <t>Ammount of items</t>
  </si>
  <si>
    <t>Variant</t>
  </si>
  <si>
    <t>Profit after transport fee</t>
  </si>
  <si>
    <t>Profit %</t>
  </si>
  <si>
    <t>Table of diffent price types depending on ordering</t>
  </si>
  <si>
    <t>Which price</t>
  </si>
  <si>
    <t>Number of people</t>
  </si>
  <si>
    <t>parts:</t>
  </si>
  <si>
    <t>Per person:</t>
  </si>
  <si>
    <t>Total:</t>
  </si>
  <si>
    <t>Which part of loot</t>
  </si>
  <si>
    <t>Journals transport (special method)</t>
  </si>
  <si>
    <t>T4</t>
  </si>
  <si>
    <t>T8</t>
  </si>
  <si>
    <t>Max. Profit</t>
  </si>
  <si>
    <t>Min.Profit</t>
  </si>
  <si>
    <t>Lose:</t>
  </si>
  <si>
    <t>Transports ammount</t>
  </si>
  <si>
    <t>Total profit</t>
  </si>
  <si>
    <t>Price of soul (T5):</t>
  </si>
  <si>
    <t>Name:</t>
  </si>
  <si>
    <t>Price of runes (T5):</t>
  </si>
  <si>
    <t>Craft Price</t>
  </si>
  <si>
    <t>Profit (%)</t>
  </si>
  <si>
    <t>1h part</t>
  </si>
  <si>
    <t>2h part</t>
  </si>
  <si>
    <t>3h part</t>
  </si>
  <si>
    <t>4h part</t>
  </si>
  <si>
    <t>Price of runes (T4):</t>
  </si>
  <si>
    <t>Price of Souls (T4):</t>
  </si>
  <si>
    <t>Number of items</t>
  </si>
  <si>
    <t>Enchant</t>
  </si>
  <si>
    <t>Repair price</t>
  </si>
  <si>
    <t>Sum</t>
  </si>
  <si>
    <t>Craft profit</t>
  </si>
  <si>
    <t>Tax 1</t>
  </si>
  <si>
    <t>Tax 2</t>
  </si>
  <si>
    <t>Chance</t>
  </si>
  <si>
    <t>T8 clothes</t>
  </si>
  <si>
    <t>Wood Axe T7</t>
  </si>
  <si>
    <t>T7 zvz Hammer</t>
  </si>
  <si>
    <t>T7 Clothes</t>
  </si>
  <si>
    <t>T5.3 Crypthandle</t>
  </si>
  <si>
    <t>T4.3 Cape</t>
  </si>
  <si>
    <t>T4.2 Cape</t>
  </si>
  <si>
    <t>T6 Sickle</t>
  </si>
  <si>
    <t>nie</t>
  </si>
  <si>
    <t>Is focus used?</t>
  </si>
  <si>
    <t>Focus per item</t>
  </si>
  <si>
    <t>Profit per 1 item</t>
  </si>
  <si>
    <t>Profit per 3 days</t>
  </si>
  <si>
    <t>Repiar Price depending on item's tier</t>
  </si>
  <si>
    <t>Resource crafting Profit W/O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</si>
</sst>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9"/>
      <color theme="1"/>
      <name val="Consolas"/>
      <family val="3"/>
      <charset val="238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0" fillId="0" borderId="2" xfId="0" applyBorder="1"/>
    <xf numFmtId="10" fontId="0" fillId="0" borderId="0" xfId="0" applyNumberFormat="1"/>
    <xf numFmtId="0" fontId="0" fillId="0" borderId="6" xfId="0" applyBorder="1"/>
    <xf numFmtId="0" fontId="4" fillId="14" borderId="0" xfId="0" applyFont="1" applyFill="1"/>
    <xf numFmtId="0" fontId="4" fillId="0" borderId="0" xfId="0" applyFont="1"/>
    <xf numFmtId="9" fontId="0" fillId="0" borderId="0" xfId="0" applyNumberFormat="1"/>
    <xf numFmtId="0" fontId="0" fillId="15" borderId="5" xfId="0" applyFill="1" applyBorder="1"/>
    <xf numFmtId="1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7" xfId="0" applyBorder="1"/>
    <xf numFmtId="0" fontId="0" fillId="0" borderId="18" xfId="0" applyBorder="1"/>
    <xf numFmtId="0" fontId="2" fillId="0" borderId="17" xfId="0" applyFont="1" applyBorder="1"/>
    <xf numFmtId="0" fontId="0" fillId="15" borderId="0" xfId="0" applyFill="1"/>
    <xf numFmtId="0" fontId="0" fillId="5" borderId="23" xfId="0" applyFill="1" applyBorder="1" applyAlignment="1">
      <alignment horizontal="center"/>
    </xf>
    <xf numFmtId="10" fontId="0" fillId="5" borderId="22" xfId="0" applyNumberFormat="1" applyFill="1" applyBorder="1"/>
    <xf numFmtId="0" fontId="0" fillId="0" borderId="15" xfId="0" applyBorder="1"/>
    <xf numFmtId="0" fontId="0" fillId="0" borderId="16" xfId="0" applyBorder="1"/>
    <xf numFmtId="0" fontId="0" fillId="0" borderId="24" xfId="0" applyBorder="1"/>
    <xf numFmtId="1" fontId="0" fillId="0" borderId="17" xfId="0" applyNumberFormat="1" applyBorder="1"/>
    <xf numFmtId="0" fontId="4" fillId="14" borderId="12" xfId="0" applyFont="1" applyFill="1" applyBorder="1"/>
    <xf numFmtId="0" fontId="0" fillId="0" borderId="25" xfId="0" applyBorder="1" applyAlignment="1">
      <alignment horizontal="center" vertical="center"/>
    </xf>
    <xf numFmtId="0" fontId="0" fillId="3" borderId="0" xfId="0" applyFill="1"/>
    <xf numFmtId="0" fontId="2" fillId="8" borderId="0" xfId="0" applyFont="1" applyFill="1"/>
    <xf numFmtId="0" fontId="3" fillId="11" borderId="0" xfId="0" applyFont="1" applyFill="1"/>
    <xf numFmtId="0" fontId="0" fillId="9" borderId="0" xfId="0" applyFill="1"/>
    <xf numFmtId="0" fontId="0" fillId="3" borderId="15" xfId="0" applyFill="1" applyBorder="1"/>
    <xf numFmtId="0" fontId="0" fillId="3" borderId="16" xfId="0" applyFill="1" applyBorder="1"/>
    <xf numFmtId="0" fontId="2" fillId="8" borderId="15" xfId="0" applyFont="1" applyFill="1" applyBorder="1"/>
    <xf numFmtId="0" fontId="3" fillId="11" borderId="16" xfId="0" applyFont="1" applyFill="1" applyBorder="1"/>
    <xf numFmtId="0" fontId="0" fillId="9" borderId="15" xfId="0" applyFill="1" applyBorder="1"/>
    <xf numFmtId="0" fontId="0" fillId="9" borderId="16" xfId="0" applyFill="1" applyBorder="1"/>
    <xf numFmtId="0" fontId="0" fillId="12" borderId="24" xfId="0" applyFill="1" applyBorder="1"/>
    <xf numFmtId="0" fontId="0" fillId="12" borderId="17" xfId="0" applyFill="1" applyBorder="1"/>
    <xf numFmtId="0" fontId="0" fillId="12" borderId="18" xfId="0" applyFill="1" applyBorder="1"/>
    <xf numFmtId="0" fontId="5" fillId="3" borderId="15" xfId="0" applyFont="1" applyFill="1" applyBorder="1"/>
    <xf numFmtId="0" fontId="5" fillId="8" borderId="15" xfId="0" applyFont="1" applyFill="1" applyBorder="1"/>
    <xf numFmtId="0" fontId="5" fillId="9" borderId="15" xfId="0" applyFont="1" applyFill="1" applyBorder="1"/>
    <xf numFmtId="0" fontId="5" fillId="12" borderId="24" xfId="0" applyFont="1" applyFill="1" applyBorder="1"/>
    <xf numFmtId="0" fontId="0" fillId="10" borderId="0" xfId="0" applyFill="1"/>
    <xf numFmtId="164" fontId="0" fillId="3" borderId="0" xfId="0" applyNumberFormat="1" applyFill="1"/>
    <xf numFmtId="1" fontId="0" fillId="3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64" fontId="2" fillId="8" borderId="0" xfId="0" applyNumberFormat="1" applyFont="1" applyFill="1"/>
    <xf numFmtId="1" fontId="2" fillId="8" borderId="0" xfId="0" applyNumberFormat="1" applyFont="1" applyFill="1"/>
    <xf numFmtId="164" fontId="0" fillId="9" borderId="0" xfId="0" applyNumberFormat="1" applyFill="1"/>
    <xf numFmtId="1" fontId="0" fillId="9" borderId="0" xfId="0" applyNumberFormat="1" applyFill="1"/>
    <xf numFmtId="10" fontId="0" fillId="2" borderId="16" xfId="0" applyNumberFormat="1" applyFill="1" applyBorder="1"/>
    <xf numFmtId="10" fontId="2" fillId="2" borderId="16" xfId="0" applyNumberFormat="1" applyFont="1" applyFill="1" applyBorder="1"/>
    <xf numFmtId="164" fontId="0" fillId="12" borderId="17" xfId="0" applyNumberFormat="1" applyFill="1" applyBorder="1"/>
    <xf numFmtId="1" fontId="0" fillId="12" borderId="17" xfId="0" applyNumberFormat="1" applyFill="1" applyBorder="1"/>
    <xf numFmtId="10" fontId="0" fillId="2" borderId="18" xfId="0" applyNumberFormat="1" applyFill="1" applyBorder="1"/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49" fontId="5" fillId="18" borderId="9" xfId="0" applyNumberFormat="1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0" fontId="5" fillId="18" borderId="11" xfId="0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/>
    </xf>
    <xf numFmtId="49" fontId="5" fillId="16" borderId="13" xfId="0" applyNumberFormat="1" applyFont="1" applyFill="1" applyBorder="1" applyAlignment="1">
      <alignment horizontal="center"/>
    </xf>
    <xf numFmtId="1" fontId="5" fillId="16" borderId="4" xfId="0" applyNumberFormat="1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14" xfId="0" applyFont="1" applyFill="1" applyBorder="1" applyAlignment="1">
      <alignment horizontal="center"/>
    </xf>
    <xf numFmtId="1" fontId="5" fillId="16" borderId="15" xfId="0" applyNumberFormat="1" applyFont="1" applyFill="1" applyBorder="1" applyAlignment="1">
      <alignment horizontal="center"/>
    </xf>
    <xf numFmtId="1" fontId="5" fillId="16" borderId="0" xfId="0" applyNumberFormat="1" applyFont="1" applyFill="1" applyAlignment="1">
      <alignment horizontal="center"/>
    </xf>
    <xf numFmtId="1" fontId="5" fillId="16" borderId="16" xfId="0" applyNumberFormat="1" applyFont="1" applyFill="1" applyBorder="1" applyAlignment="1">
      <alignment horizontal="center"/>
    </xf>
    <xf numFmtId="0" fontId="5" fillId="18" borderId="13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18" borderId="14" xfId="0" applyFont="1" applyFill="1" applyBorder="1" applyAlignment="1">
      <alignment horizontal="center"/>
    </xf>
    <xf numFmtId="0" fontId="5" fillId="16" borderId="15" xfId="0" applyFont="1" applyFill="1" applyBorder="1" applyAlignment="1">
      <alignment horizontal="center"/>
    </xf>
    <xf numFmtId="0" fontId="5" fillId="16" borderId="0" xfId="0" applyFont="1" applyFill="1" applyAlignment="1">
      <alignment horizontal="center"/>
    </xf>
    <xf numFmtId="0" fontId="5" fillId="16" borderId="16" xfId="0" applyFont="1" applyFill="1" applyBorder="1" applyAlignment="1">
      <alignment horizontal="center"/>
    </xf>
    <xf numFmtId="10" fontId="5" fillId="0" borderId="8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0" fontId="5" fillId="0" borderId="3" xfId="0" applyNumberFormat="1" applyFont="1" applyBorder="1"/>
    <xf numFmtId="0" fontId="5" fillId="18" borderId="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5" fillId="18" borderId="16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164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28" xfId="0" applyBorder="1"/>
    <xf numFmtId="0" fontId="0" fillId="17" borderId="21" xfId="0" applyFill="1" applyBorder="1"/>
    <xf numFmtId="0" fontId="0" fillId="17" borderId="28" xfId="0" applyFill="1" applyBorder="1"/>
    <xf numFmtId="0" fontId="0" fillId="17" borderId="18" xfId="0" applyFill="1" applyBorder="1"/>
    <xf numFmtId="0" fontId="2" fillId="0" borderId="15" xfId="0" applyFont="1" applyBorder="1"/>
    <xf numFmtId="0" fontId="2" fillId="0" borderId="24" xfId="0" applyFont="1" applyBorder="1"/>
    <xf numFmtId="0" fontId="5" fillId="0" borderId="10" xfId="0" applyFont="1" applyBorder="1" applyAlignment="1">
      <alignment horizontal="center"/>
    </xf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10" fontId="2" fillId="17" borderId="16" xfId="0" applyNumberFormat="1" applyFont="1" applyFill="1" applyBorder="1"/>
    <xf numFmtId="10" fontId="2" fillId="17" borderId="18" xfId="0" applyNumberFormat="1" applyFont="1" applyFill="1" applyBorder="1"/>
    <xf numFmtId="1" fontId="5" fillId="17" borderId="5" xfId="0" applyNumberFormat="1" applyFont="1" applyFill="1" applyBorder="1" applyAlignment="1">
      <alignment horizontal="center"/>
    </xf>
    <xf numFmtId="9" fontId="0" fillId="0" borderId="16" xfId="0" applyNumberFormat="1" applyBorder="1"/>
    <xf numFmtId="0" fontId="0" fillId="13" borderId="17" xfId="0" applyFill="1" applyBorder="1"/>
    <xf numFmtId="9" fontId="0" fillId="0" borderId="18" xfId="0" applyNumberFormat="1" applyBorder="1"/>
    <xf numFmtId="0" fontId="6" fillId="14" borderId="9" xfId="0" applyFont="1" applyFill="1" applyBorder="1" applyAlignment="1">
      <alignment horizontal="center"/>
    </xf>
    <xf numFmtId="0" fontId="5" fillId="13" borderId="15" xfId="0" applyFont="1" applyFill="1" applyBorder="1"/>
    <xf numFmtId="0" fontId="5" fillId="13" borderId="24" xfId="0" applyFont="1" applyFill="1" applyBorder="1"/>
    <xf numFmtId="0" fontId="6" fillId="14" borderId="15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0" fontId="5" fillId="0" borderId="12" xfId="0" applyNumberFormat="1" applyFont="1" applyBorder="1"/>
    <xf numFmtId="0" fontId="5" fillId="15" borderId="2" xfId="0" applyFont="1" applyFill="1" applyBorder="1"/>
    <xf numFmtId="0" fontId="5" fillId="0" borderId="2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15" xfId="0" applyFont="1" applyBorder="1"/>
    <xf numFmtId="0" fontId="5" fillId="0" borderId="16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9" fontId="2" fillId="17" borderId="16" xfId="0" applyNumberFormat="1" applyFont="1" applyFill="1" applyBorder="1" applyAlignment="1">
      <alignment horizontal="center"/>
    </xf>
    <xf numFmtId="9" fontId="2" fillId="17" borderId="18" xfId="0" applyNumberFormat="1" applyFont="1" applyFill="1" applyBorder="1" applyAlignment="1">
      <alignment horizontal="center"/>
    </xf>
    <xf numFmtId="0" fontId="2" fillId="19" borderId="18" xfId="0" applyFont="1" applyFill="1" applyBorder="1"/>
    <xf numFmtId="0" fontId="2" fillId="19" borderId="21" xfId="0" applyFont="1" applyFill="1" applyBorder="1"/>
    <xf numFmtId="0" fontId="5" fillId="13" borderId="9" xfId="0" applyFont="1" applyFill="1" applyBorder="1" applyAlignment="1">
      <alignment horizontal="center"/>
    </xf>
    <xf numFmtId="0" fontId="5" fillId="13" borderId="10" xfId="0" applyFont="1" applyFill="1" applyBorder="1" applyAlignment="1">
      <alignment horizontal="center"/>
    </xf>
    <xf numFmtId="10" fontId="5" fillId="13" borderId="10" xfId="0" applyNumberFormat="1" applyFont="1" applyFill="1" applyBorder="1" applyAlignment="1">
      <alignment horizontal="center"/>
    </xf>
    <xf numFmtId="10" fontId="5" fillId="7" borderId="12" xfId="0" applyNumberFormat="1" applyFont="1" applyFill="1" applyBorder="1" applyAlignment="1">
      <alignment horizontal="center"/>
    </xf>
    <xf numFmtId="0" fontId="1" fillId="13" borderId="24" xfId="0" applyFont="1" applyFill="1" applyBorder="1" applyAlignment="1">
      <alignment horizontal="center"/>
    </xf>
    <xf numFmtId="0" fontId="1" fillId="13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5" fillId="19" borderId="19" xfId="0" applyFont="1" applyFill="1" applyBorder="1" applyAlignment="1">
      <alignment horizontal="center"/>
    </xf>
    <xf numFmtId="0" fontId="5" fillId="19" borderId="20" xfId="0" applyFont="1" applyFill="1" applyBorder="1" applyAlignment="1">
      <alignment horizontal="center"/>
    </xf>
    <xf numFmtId="0" fontId="5" fillId="19" borderId="24" xfId="0" applyFont="1" applyFill="1" applyBorder="1" applyAlignment="1">
      <alignment horizontal="center"/>
    </xf>
    <xf numFmtId="0" fontId="5" fillId="19" borderId="17" xfId="0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9" fontId="5" fillId="17" borderId="20" xfId="0" applyNumberFormat="1" applyFont="1" applyFill="1" applyBorder="1" applyAlignment="1">
      <alignment horizontal="center"/>
    </xf>
    <xf numFmtId="9" fontId="5" fillId="17" borderId="21" xfId="0" applyNumberFormat="1" applyFont="1" applyFill="1" applyBorder="1" applyAlignment="1">
      <alignment horizontal="center"/>
    </xf>
    <xf numFmtId="10" fontId="0" fillId="0" borderId="12" xfId="0" applyNumberFormat="1" applyBorder="1"/>
    <xf numFmtId="0" fontId="0" fillId="20" borderId="16" xfId="0" applyFill="1" applyBorder="1"/>
    <xf numFmtId="0" fontId="0" fillId="0" borderId="0" xfId="0" applyBorder="1"/>
    <xf numFmtId="0" fontId="0" fillId="0" borderId="0" xfId="0" applyFill="1" applyBorder="1"/>
    <xf numFmtId="10" fontId="0" fillId="0" borderId="0" xfId="0" applyNumberFormat="1" applyFill="1" applyBorder="1"/>
    <xf numFmtId="0" fontId="5" fillId="0" borderId="9" xfId="0" applyFont="1" applyBorder="1"/>
    <xf numFmtId="0" fontId="5" fillId="0" borderId="24" xfId="0" applyFont="1" applyBorder="1"/>
    <xf numFmtId="0" fontId="5" fillId="20" borderId="12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15" borderId="15" xfId="0" applyFont="1" applyFill="1" applyBorder="1" applyAlignment="1">
      <alignment horizontal="center"/>
    </xf>
    <xf numFmtId="0" fontId="5" fillId="15" borderId="0" xfId="0" applyFont="1" applyFill="1" applyAlignment="1">
      <alignment horizontal="center"/>
    </xf>
    <xf numFmtId="0" fontId="5" fillId="15" borderId="16" xfId="0" applyFont="1" applyFill="1" applyBorder="1" applyAlignment="1">
      <alignment horizontal="center"/>
    </xf>
    <xf numFmtId="0" fontId="9" fillId="21" borderId="19" xfId="0" applyFont="1" applyFill="1" applyBorder="1" applyAlignment="1">
      <alignment horizontal="center"/>
    </xf>
    <xf numFmtId="0" fontId="9" fillId="21" borderId="20" xfId="0" applyFont="1" applyFill="1" applyBorder="1" applyAlignment="1">
      <alignment horizontal="center"/>
    </xf>
    <xf numFmtId="0" fontId="9" fillId="21" borderId="21" xfId="0" applyFont="1" applyFill="1" applyBorder="1" applyAlignment="1">
      <alignment horizontal="center"/>
    </xf>
    <xf numFmtId="0" fontId="8" fillId="21" borderId="19" xfId="0" applyFont="1" applyFill="1" applyBorder="1" applyAlignment="1">
      <alignment horizontal="center"/>
    </xf>
    <xf numFmtId="0" fontId="8" fillId="21" borderId="20" xfId="0" applyFont="1" applyFill="1" applyBorder="1" applyAlignment="1">
      <alignment horizontal="center"/>
    </xf>
    <xf numFmtId="0" fontId="8" fillId="21" borderId="21" xfId="0" applyFont="1" applyFill="1" applyBorder="1" applyAlignment="1">
      <alignment horizontal="center"/>
    </xf>
    <xf numFmtId="0" fontId="8" fillId="21" borderId="26" xfId="0" applyFont="1" applyFill="1" applyBorder="1" applyAlignment="1">
      <alignment horizontal="center"/>
    </xf>
    <xf numFmtId="0" fontId="8" fillId="21" borderId="1" xfId="0" applyFont="1" applyFill="1" applyBorder="1" applyAlignment="1">
      <alignment horizontal="center"/>
    </xf>
    <xf numFmtId="0" fontId="8" fillId="21" borderId="27" xfId="0" applyFont="1" applyFill="1" applyBorder="1" applyAlignment="1">
      <alignment horizontal="center"/>
    </xf>
    <xf numFmtId="49" fontId="10" fillId="21" borderId="19" xfId="0" applyNumberFormat="1" applyFont="1" applyFill="1" applyBorder="1" applyAlignment="1">
      <alignment horizontal="center"/>
    </xf>
    <xf numFmtId="49" fontId="10" fillId="21" borderId="20" xfId="0" applyNumberFormat="1" applyFont="1" applyFill="1" applyBorder="1" applyAlignment="1">
      <alignment horizontal="center"/>
    </xf>
    <xf numFmtId="49" fontId="10" fillId="21" borderId="21" xfId="0" applyNumberFormat="1" applyFont="1" applyFill="1" applyBorder="1" applyAlignment="1">
      <alignment horizontal="center"/>
    </xf>
    <xf numFmtId="0" fontId="9" fillId="16" borderId="19" xfId="0" applyFont="1" applyFill="1" applyBorder="1" applyAlignment="1">
      <alignment horizontal="center"/>
    </xf>
    <xf numFmtId="0" fontId="9" fillId="16" borderId="20" xfId="0" applyFont="1" applyFill="1" applyBorder="1" applyAlignment="1">
      <alignment horizontal="center"/>
    </xf>
    <xf numFmtId="0" fontId="9" fillId="16" borderId="21" xfId="0" applyFont="1" applyFill="1" applyBorder="1" applyAlignment="1">
      <alignment horizontal="center"/>
    </xf>
    <xf numFmtId="0" fontId="10" fillId="21" borderId="19" xfId="0" applyFont="1" applyFill="1" applyBorder="1" applyAlignment="1">
      <alignment horizontal="center"/>
    </xf>
    <xf numFmtId="0" fontId="10" fillId="21" borderId="20" xfId="0" applyFont="1" applyFill="1" applyBorder="1" applyAlignment="1">
      <alignment horizontal="center"/>
    </xf>
    <xf numFmtId="0" fontId="10" fillId="21" borderId="21" xfId="0" applyFont="1" applyFill="1" applyBorder="1" applyAlignment="1">
      <alignment horizontal="center"/>
    </xf>
    <xf numFmtId="0" fontId="5" fillId="18" borderId="15" xfId="0" applyFont="1" applyFill="1" applyBorder="1"/>
    <xf numFmtId="0" fontId="0" fillId="18" borderId="0" xfId="0" applyFill="1"/>
    <xf numFmtId="0" fontId="0" fillId="18" borderId="16" xfId="0" applyFill="1" applyBorder="1"/>
    <xf numFmtId="0" fontId="0" fillId="18" borderId="15" xfId="0" applyFill="1" applyBorder="1"/>
    <xf numFmtId="164" fontId="0" fillId="18" borderId="0" xfId="0" applyNumberFormat="1" applyFill="1"/>
    <xf numFmtId="1" fontId="0" fillId="18" borderId="0" xfId="0" applyNumberFormat="1" applyFill="1"/>
    <xf numFmtId="0" fontId="5" fillId="22" borderId="15" xfId="0" applyFont="1" applyFill="1" applyBorder="1"/>
    <xf numFmtId="10" fontId="0" fillId="22" borderId="0" xfId="0" applyNumberFormat="1" applyFill="1"/>
    <xf numFmtId="10" fontId="0" fillId="22" borderId="16" xfId="0" applyNumberFormat="1" applyFill="1" applyBorder="1"/>
    <xf numFmtId="0" fontId="5" fillId="23" borderId="15" xfId="0" applyFont="1" applyFill="1" applyBorder="1"/>
    <xf numFmtId="0" fontId="0" fillId="23" borderId="0" xfId="0" applyFill="1"/>
    <xf numFmtId="0" fontId="0" fillId="23" borderId="16" xfId="0" applyFill="1" applyBorder="1"/>
    <xf numFmtId="0" fontId="0" fillId="23" borderId="15" xfId="0" applyFill="1" applyBorder="1"/>
    <xf numFmtId="164" fontId="0" fillId="23" borderId="0" xfId="0" applyNumberFormat="1" applyFill="1"/>
    <xf numFmtId="1" fontId="0" fillId="23" borderId="0" xfId="0" applyNumberFormat="1" applyFill="1"/>
    <xf numFmtId="0" fontId="5" fillId="24" borderId="15" xfId="0" applyFont="1" applyFill="1" applyBorder="1"/>
    <xf numFmtId="0" fontId="0" fillId="24" borderId="0" xfId="0" applyFill="1"/>
    <xf numFmtId="0" fontId="0" fillId="24" borderId="16" xfId="0" applyFill="1" applyBorder="1"/>
    <xf numFmtId="0" fontId="0" fillId="24" borderId="15" xfId="0" applyFill="1" applyBorder="1"/>
    <xf numFmtId="0" fontId="0" fillId="24" borderId="0" xfId="0" applyFill="1" applyAlignment="1">
      <alignment horizontal="center"/>
    </xf>
    <xf numFmtId="164" fontId="0" fillId="24" borderId="0" xfId="0" applyNumberFormat="1" applyFill="1"/>
    <xf numFmtId="1" fontId="0" fillId="24" borderId="0" xfId="0" applyNumberFormat="1" applyFill="1"/>
    <xf numFmtId="0" fontId="5" fillId="25" borderId="15" xfId="0" applyFont="1" applyFill="1" applyBorder="1"/>
    <xf numFmtId="0" fontId="2" fillId="25" borderId="0" xfId="0" applyFont="1" applyFill="1"/>
    <xf numFmtId="0" fontId="2" fillId="25" borderId="16" xfId="0" applyFont="1" applyFill="1" applyBorder="1"/>
    <xf numFmtId="0" fontId="2" fillId="25" borderId="15" xfId="0" applyFont="1" applyFill="1" applyBorder="1"/>
    <xf numFmtId="164" fontId="2" fillId="25" borderId="0" xfId="0" applyNumberFormat="1" applyFont="1" applyFill="1"/>
    <xf numFmtId="1" fontId="2" fillId="25" borderId="0" xfId="0" applyNumberFormat="1" applyFont="1" applyFill="1"/>
  </cellXfs>
  <cellStyles count="1">
    <cellStyle name="Normalny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wid Sporysiak" id="{C64C49C1-4500-4FB3-9511-AE03850C0A5C}" userId="S::UL0296059@edu.uni.lodz.pl::d883fd1d-e4a2-4400-8395-c51f6cf4b496" providerId="AD"/>
</personList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6-05-03T18:41:53.21" personId="{C64C49C1-4500-4FB3-9511-AE03850C0A5C}" id="{94FEFAD9-15C8-4303-B882-05A8CB24E31A}">
    <text>Its average quality, because each one item have its own quality craft chance that depends mostly on food and specs. It uses Best specs on tree</text>
  </threadedComment>
  <threadedComment ref="H8" dT="2026-05-03T18:34:19.40" personId="{C64C49C1-4500-4FB3-9511-AE03850C0A5C}" id="{11C17E9F-4144-4651-AD53-6C431F0AEC68}">
    <text>Table of taxes used to calculate profit after selling items on market where is fee (1-&gt; 4% during „quicksell” and second when its „sell order”</text>
  </threadedComment>
  <threadedComment ref="H20" dT="2026-05-03T18:45:38.72" personId="{C64C49C1-4500-4FB3-9511-AE03850C0A5C}" id="{AC62B8E7-35E8-4A0D-87E2-072D2685BB92}">
    <text>Players can put fees for crafting at their stations</text>
  </threadedComment>
  <threadedComment ref="K20" dT="2026-05-03T18:46:32.73" personId="{C64C49C1-4500-4FB3-9511-AE03850C0A5C}" id="{BE130C1A-DFA9-40A4-9000-21D34494E3D7}">
    <text>You can earn some extra money when you craft with jourlans (optional)</text>
  </threadedComment>
  <threadedComment ref="N20" dT="2026-05-03T18:49:36.36" personId="{C64C49C1-4500-4FB3-9511-AE03850C0A5C}" id="{220D58C2-4FEB-4387-91DE-BA6908E1CBD7}">
    <text>You should check if item give per 3 days enough silver, not just % of earnings</text>
  </threadedComment>
  <threadedComment ref="O20" dT="2026-05-03T18:50:11.91" personId="{C64C49C1-4500-4FB3-9511-AE03850C0A5C}" id="{30C39DFA-48D9-4CCF-A7E5-6AC3430C0581}">
    <text>It shows % of earnings, usefull when you want to maximize profit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7" dT="2026-05-05T15:49:28.65" personId="{C64C49C1-4500-4FB3-9511-AE03850C0A5C}" id="{6A4BB842-F0F0-4415-B939-BFB2A5E7A13B}">
    <text>Average price that you lose when dying with Ox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0" dT="2026-05-05T15:19:30.27" personId="{C64C49C1-4500-4FB3-9511-AE03850C0A5C}" id="{4119C5A5-2F3F-415A-A699-E7E27EF514BF}">
    <text>One of types of food</text>
  </threadedComment>
  <threadedComment ref="L11" dT="2026-05-05T15:19:37.83" personId="{C64C49C1-4500-4FB3-9511-AE03850C0A5C}" id="{DF36C07A-458F-4993-BD81-403CD42E45E5}">
    <text>Second type</text>
  </threadedComment>
  <threadedComment ref="D17" dT="2026-05-05T15:13:52.71" personId="{C64C49C1-4500-4FB3-9511-AE03850C0A5C}" id="{93103AF0-9E46-426D-B14A-CE39D79ABD86}">
    <text>We can choose any part of F11:I11</text>
  </threadedComment>
  <threadedComment ref="F17" dT="2026-05-05T15:19:11.97" personId="{C64C49C1-4500-4FB3-9511-AE03850C0A5C}" id="{0EC02A95-600D-4630-B78D-5BB0E117F304}">
    <text>It could be easier :c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D20C-6841-47BB-808D-458C01B38C5D}">
  <dimension ref="A1:O28"/>
  <sheetViews>
    <sheetView workbookViewId="0">
      <selection activeCell="P12" sqref="P12"/>
    </sheetView>
  </sheetViews>
  <sheetFormatPr defaultRowHeight="15" x14ac:dyDescent="0.25"/>
  <cols>
    <col min="1" max="1" width="25.140625" bestFit="1" customWidth="1"/>
    <col min="2" max="3" width="12.5703125" bestFit="1" customWidth="1"/>
    <col min="4" max="4" width="9.28515625" bestFit="1" customWidth="1"/>
    <col min="5" max="5" width="15.42578125" bestFit="1" customWidth="1"/>
    <col min="6" max="6" width="11.28515625" bestFit="1" customWidth="1"/>
    <col min="7" max="7" width="15.85546875" bestFit="1" customWidth="1"/>
    <col min="8" max="8" width="9.28515625" bestFit="1" customWidth="1"/>
    <col min="9" max="9" width="20" bestFit="1" customWidth="1"/>
    <col min="10" max="10" width="17.28515625" bestFit="1" customWidth="1"/>
    <col min="11" max="11" width="12.7109375" bestFit="1" customWidth="1"/>
    <col min="12" max="12" width="12" bestFit="1" customWidth="1"/>
    <col min="13" max="13" width="9" bestFit="1" customWidth="1"/>
    <col min="14" max="14" width="8" bestFit="1" customWidth="1"/>
    <col min="15" max="15" width="9.42578125" bestFit="1" customWidth="1"/>
  </cols>
  <sheetData>
    <row r="1" spans="1:12" ht="15.75" thickBot="1" x14ac:dyDescent="0.3">
      <c r="G1" s="5"/>
    </row>
    <row r="2" spans="1:12" ht="29.25" thickBot="1" x14ac:dyDescent="0.5">
      <c r="C2" s="142" t="s">
        <v>34</v>
      </c>
      <c r="D2" s="143"/>
      <c r="E2" s="143"/>
      <c r="F2" s="143"/>
      <c r="G2" s="143"/>
      <c r="H2" s="143"/>
      <c r="I2" s="143"/>
      <c r="J2" s="143"/>
      <c r="K2" s="143"/>
      <c r="L2" s="144"/>
    </row>
    <row r="6" spans="1:12" ht="15.75" thickBot="1" x14ac:dyDescent="0.3"/>
    <row r="7" spans="1:12" ht="15.75" thickBot="1" x14ac:dyDescent="0.3">
      <c r="A7" s="57" t="s">
        <v>10</v>
      </c>
      <c r="B7" s="58" t="s">
        <v>14</v>
      </c>
      <c r="C7" s="58" t="s">
        <v>15</v>
      </c>
      <c r="D7" s="58" t="s">
        <v>16</v>
      </c>
      <c r="E7" s="58" t="s">
        <v>17</v>
      </c>
      <c r="F7" s="59" t="s">
        <v>18</v>
      </c>
    </row>
    <row r="8" spans="1:12" ht="15.75" thickBot="1" x14ac:dyDescent="0.3">
      <c r="A8" s="191" t="s">
        <v>113</v>
      </c>
      <c r="B8" s="192">
        <v>1.2E-2</v>
      </c>
      <c r="C8" s="192">
        <v>0.152</v>
      </c>
      <c r="D8" s="192">
        <v>0.35599999999999998</v>
      </c>
      <c r="E8" s="192">
        <v>0.46200000000000002</v>
      </c>
      <c r="F8" s="193">
        <v>1.7999999999999999E-2</v>
      </c>
      <c r="H8" s="140" t="s">
        <v>13</v>
      </c>
      <c r="I8" s="141"/>
    </row>
    <row r="9" spans="1:12" x14ac:dyDescent="0.25">
      <c r="A9" s="185" t="s">
        <v>114</v>
      </c>
      <c r="B9" s="186">
        <v>200000</v>
      </c>
      <c r="C9" s="186">
        <v>180000</v>
      </c>
      <c r="D9" s="186">
        <v>170000</v>
      </c>
      <c r="E9" s="186">
        <v>170000</v>
      </c>
      <c r="F9" s="187">
        <v>170000</v>
      </c>
      <c r="H9" s="15" t="s">
        <v>109</v>
      </c>
      <c r="I9" s="21" t="s">
        <v>110</v>
      </c>
    </row>
    <row r="10" spans="1:12" ht="15.75" thickBot="1" x14ac:dyDescent="0.3">
      <c r="A10" s="194" t="s">
        <v>115</v>
      </c>
      <c r="B10" s="195">
        <v>40000</v>
      </c>
      <c r="C10" s="195">
        <v>40000</v>
      </c>
      <c r="D10" s="195">
        <v>40000</v>
      </c>
      <c r="E10" s="195">
        <v>40000</v>
      </c>
      <c r="F10" s="196">
        <v>40000</v>
      </c>
      <c r="H10" s="16">
        <f>SUM(B8:F8)</f>
        <v>1</v>
      </c>
      <c r="I10" s="22"/>
    </row>
    <row r="11" spans="1:12" x14ac:dyDescent="0.25">
      <c r="A11" s="36" t="s">
        <v>116</v>
      </c>
      <c r="B11" s="23">
        <v>89000</v>
      </c>
      <c r="C11" s="23">
        <v>89000</v>
      </c>
      <c r="D11" s="23">
        <v>89000</v>
      </c>
      <c r="E11" s="23">
        <v>89000</v>
      </c>
      <c r="F11" s="28">
        <v>89000</v>
      </c>
      <c r="H11" s="17" t="s">
        <v>111</v>
      </c>
      <c r="I11" s="18">
        <v>0.04</v>
      </c>
    </row>
    <row r="12" spans="1:12" x14ac:dyDescent="0.25">
      <c r="A12" s="200" t="s">
        <v>117</v>
      </c>
      <c r="B12" s="201">
        <v>100000</v>
      </c>
      <c r="C12" s="201">
        <v>78000</v>
      </c>
      <c r="D12" s="201">
        <v>78000</v>
      </c>
      <c r="E12" s="201">
        <v>78000</v>
      </c>
      <c r="F12" s="202">
        <v>78000</v>
      </c>
      <c r="H12" s="17" t="s">
        <v>112</v>
      </c>
      <c r="I12" s="18">
        <v>2.5000000000000001E-2</v>
      </c>
    </row>
    <row r="13" spans="1:12" ht="15.75" thickBot="1" x14ac:dyDescent="0.3">
      <c r="A13" s="207" t="s">
        <v>118</v>
      </c>
      <c r="B13" s="208">
        <v>500000</v>
      </c>
      <c r="C13" s="208">
        <v>370000</v>
      </c>
      <c r="D13" s="208">
        <v>280000</v>
      </c>
      <c r="E13" s="208">
        <v>260000</v>
      </c>
      <c r="F13" s="209">
        <v>260000</v>
      </c>
      <c r="H13" s="19" t="s">
        <v>109</v>
      </c>
      <c r="I13" s="12">
        <f>1-SUM(I11:I12)</f>
        <v>0.93500000000000005</v>
      </c>
    </row>
    <row r="14" spans="1:12" x14ac:dyDescent="0.25">
      <c r="A14" s="37" t="s">
        <v>119</v>
      </c>
      <c r="B14" s="25">
        <v>105000</v>
      </c>
      <c r="C14" s="25">
        <v>80000</v>
      </c>
      <c r="D14" s="25">
        <v>68000</v>
      </c>
      <c r="E14" s="25">
        <v>68000</v>
      </c>
      <c r="F14" s="30">
        <v>68000</v>
      </c>
    </row>
    <row r="15" spans="1:12" x14ac:dyDescent="0.25">
      <c r="A15" s="38" t="s">
        <v>120</v>
      </c>
      <c r="B15" s="26">
        <v>30000</v>
      </c>
      <c r="C15" s="26">
        <v>23000</v>
      </c>
      <c r="D15" s="26">
        <v>12000</v>
      </c>
      <c r="E15" s="26">
        <v>12000</v>
      </c>
      <c r="F15" s="32">
        <v>12000</v>
      </c>
    </row>
    <row r="16" spans="1:12" ht="15.75" thickBot="1" x14ac:dyDescent="0.3">
      <c r="A16" s="39" t="s">
        <v>121</v>
      </c>
      <c r="B16" s="34">
        <v>21000</v>
      </c>
      <c r="C16" s="34">
        <v>21000</v>
      </c>
      <c r="D16" s="34">
        <v>21000</v>
      </c>
      <c r="E16" s="34">
        <v>21000</v>
      </c>
      <c r="F16" s="35">
        <v>21000</v>
      </c>
    </row>
    <row r="19" spans="1:15" ht="15.75" thickBot="1" x14ac:dyDescent="0.3">
      <c r="A19" s="4" t="s">
        <v>9</v>
      </c>
      <c r="B19" s="1"/>
    </row>
    <row r="20" spans="1:15" x14ac:dyDescent="0.25">
      <c r="A20" s="54" t="s">
        <v>19</v>
      </c>
      <c r="B20" s="55" t="s">
        <v>20</v>
      </c>
      <c r="C20" s="55" t="s">
        <v>21</v>
      </c>
      <c r="D20" s="55" t="s">
        <v>22</v>
      </c>
      <c r="E20" s="55" t="s">
        <v>33</v>
      </c>
      <c r="F20" s="55" t="s">
        <v>23</v>
      </c>
      <c r="G20" s="55" t="s">
        <v>24</v>
      </c>
      <c r="H20" s="55" t="s">
        <v>25</v>
      </c>
      <c r="I20" s="55" t="s">
        <v>26</v>
      </c>
      <c r="J20" s="55" t="s">
        <v>27</v>
      </c>
      <c r="K20" s="55" t="s">
        <v>28</v>
      </c>
      <c r="L20" s="55" t="s">
        <v>29</v>
      </c>
      <c r="M20" s="55" t="s">
        <v>30</v>
      </c>
      <c r="N20" s="55" t="s">
        <v>31</v>
      </c>
      <c r="O20" s="56" t="s">
        <v>32</v>
      </c>
    </row>
    <row r="21" spans="1:15" x14ac:dyDescent="0.25">
      <c r="A21" s="188" t="str">
        <f t="shared" ref="A21:A28" si="0">A9</f>
        <v>T8 clothes</v>
      </c>
      <c r="B21" s="186">
        <v>28000</v>
      </c>
      <c r="C21" s="186">
        <v>0</v>
      </c>
      <c r="D21" s="186">
        <v>30000</v>
      </c>
      <c r="E21" s="189">
        <v>0.56499999999999995</v>
      </c>
      <c r="F21" s="186">
        <f>251</f>
        <v>251</v>
      </c>
      <c r="G21" s="190">
        <f t="shared" ref="G21:G28" si="1">30000/F21</f>
        <v>119.5219123505976</v>
      </c>
      <c r="H21" s="190">
        <f>3200</f>
        <v>3200</v>
      </c>
      <c r="I21" s="190">
        <v>22000</v>
      </c>
      <c r="J21" s="190">
        <v>110000</v>
      </c>
      <c r="K21" s="190">
        <f>(J21-I21)/5.5</f>
        <v>16000</v>
      </c>
      <c r="L21" s="190">
        <f>G21*(8*B21+0*C21)*E21+D21+H21*G21</f>
        <v>15539163.346613545</v>
      </c>
      <c r="M21" s="190">
        <f t="shared" ref="M21:M26" si="2">($B$8*B9+$C$8*C9+$D$8*D9+$E$8*E9+$F$8*F9)*$I$13*G21+K21*G21</f>
        <v>21120454.183266934</v>
      </c>
      <c r="N21" s="8">
        <f>M21-L21</f>
        <v>5581290.836653389</v>
      </c>
      <c r="O21" s="49">
        <f>N21/L21</f>
        <v>0.35917576205090357</v>
      </c>
    </row>
    <row r="22" spans="1:15" x14ac:dyDescent="0.25">
      <c r="A22" s="197" t="str">
        <f t="shared" si="0"/>
        <v>Wood Axe T7</v>
      </c>
      <c r="B22" s="195">
        <v>6000</v>
      </c>
      <c r="C22" s="195">
        <v>5300</v>
      </c>
      <c r="D22" s="195">
        <v>0</v>
      </c>
      <c r="E22" s="198">
        <v>0.4</v>
      </c>
      <c r="F22" s="195">
        <v>30000</v>
      </c>
      <c r="G22" s="199">
        <f>30000/F22</f>
        <v>1</v>
      </c>
      <c r="H22" s="199">
        <v>1000</v>
      </c>
      <c r="I22" s="199">
        <v>12000</v>
      </c>
      <c r="J22" s="199">
        <v>50000</v>
      </c>
      <c r="K22" s="199">
        <f>(J22-I22)/5.5</f>
        <v>6909.090909090909</v>
      </c>
      <c r="L22" s="199">
        <f>G22*(6*B22+2*C22)*E22+H22*G22+D22</f>
        <v>19640</v>
      </c>
      <c r="M22" s="199">
        <f t="shared" si="2"/>
        <v>44309.090909090912</v>
      </c>
      <c r="N22" s="8">
        <f t="shared" ref="N22:N28" si="3">M22-L22</f>
        <v>24669.090909090912</v>
      </c>
      <c r="O22" s="49">
        <f>N22/L22</f>
        <v>1.2560636919089059</v>
      </c>
    </row>
    <row r="23" spans="1:15" x14ac:dyDescent="0.25">
      <c r="A23" s="27" t="str">
        <f t="shared" si="0"/>
        <v>T7 zvz Hammer</v>
      </c>
      <c r="B23" s="40">
        <v>5800</v>
      </c>
      <c r="C23" s="23">
        <v>5200</v>
      </c>
      <c r="D23" s="23">
        <v>3000</v>
      </c>
      <c r="E23" s="41">
        <v>0.56499999999999995</v>
      </c>
      <c r="F23" s="23">
        <v>287</v>
      </c>
      <c r="G23" s="42">
        <f t="shared" si="1"/>
        <v>104.52961672473867</v>
      </c>
      <c r="H23" s="42">
        <v>1200</v>
      </c>
      <c r="I23" s="42">
        <v>13000</v>
      </c>
      <c r="J23" s="43">
        <v>43000</v>
      </c>
      <c r="K23" s="42">
        <f>(J23-I23)/2.8</f>
        <v>10714.285714285716</v>
      </c>
      <c r="L23" s="42">
        <f>G23*(8*B23+8*C23)*E23+H23*G23+D23</f>
        <v>5325648.0836236933</v>
      </c>
      <c r="M23" s="44">
        <f t="shared" si="2"/>
        <v>9818392.2349427585</v>
      </c>
      <c r="N23" s="8">
        <f t="shared" si="3"/>
        <v>4492744.1513190651</v>
      </c>
      <c r="O23" s="49">
        <f t="shared" ref="O23" si="4">N23/L23</f>
        <v>0.8436051501664561</v>
      </c>
    </row>
    <row r="24" spans="1:15" x14ac:dyDescent="0.25">
      <c r="A24" s="203" t="str">
        <f t="shared" si="0"/>
        <v>T7 Clothes</v>
      </c>
      <c r="B24" s="201">
        <v>12800</v>
      </c>
      <c r="C24" s="204">
        <v>0</v>
      </c>
      <c r="D24" s="201">
        <v>30000</v>
      </c>
      <c r="E24" s="205">
        <v>0.56499999999999995</v>
      </c>
      <c r="F24" s="201">
        <v>144</v>
      </c>
      <c r="G24" s="206">
        <f>30000/F24</f>
        <v>208.33333333333334</v>
      </c>
      <c r="H24" s="206">
        <v>500</v>
      </c>
      <c r="I24" s="206">
        <v>13000</v>
      </c>
      <c r="J24" s="206">
        <v>43000</v>
      </c>
      <c r="K24" s="206">
        <f>(J24-I24)/5.5</f>
        <v>5454.545454545455</v>
      </c>
      <c r="L24" s="206">
        <f>(G24*(8*B24)*E24+H24*G24+D24)</f>
        <v>12187500</v>
      </c>
      <c r="M24" s="206">
        <f t="shared" si="2"/>
        <v>16381538.63636364</v>
      </c>
      <c r="N24" s="8">
        <f t="shared" si="3"/>
        <v>4194038.6363636404</v>
      </c>
      <c r="O24" s="49">
        <f>N24/L24</f>
        <v>0.34412624708624739</v>
      </c>
    </row>
    <row r="25" spans="1:15" x14ac:dyDescent="0.25">
      <c r="A25" s="210" t="str">
        <f t="shared" si="0"/>
        <v>T5.3 Crypthandle</v>
      </c>
      <c r="B25" s="208">
        <v>36000</v>
      </c>
      <c r="C25" s="208">
        <v>45000</v>
      </c>
      <c r="D25" s="208">
        <v>0</v>
      </c>
      <c r="E25" s="211">
        <v>0.56499999999999995</v>
      </c>
      <c r="F25" s="208">
        <v>374</v>
      </c>
      <c r="G25" s="212">
        <f t="shared" si="1"/>
        <v>80.213903743315512</v>
      </c>
      <c r="H25" s="212">
        <v>3000</v>
      </c>
      <c r="I25" s="212">
        <v>10000</v>
      </c>
      <c r="J25" s="212">
        <v>52000</v>
      </c>
      <c r="K25" s="212">
        <f>(J25-I25)/1.3</f>
        <v>32307.692307692305</v>
      </c>
      <c r="L25" s="212">
        <f>G25*(B25*4+4*C25)*E25+H25*G25+D25+18000*G25</f>
        <v>16368449.197860962</v>
      </c>
      <c r="M25" s="212">
        <f t="shared" si="2"/>
        <v>24095526.120937891</v>
      </c>
      <c r="N25" s="8">
        <f t="shared" si="3"/>
        <v>7727076.9230769295</v>
      </c>
      <c r="O25" s="50">
        <f>N25/L25</f>
        <v>0.47207141187735174</v>
      </c>
    </row>
    <row r="26" spans="1:15" x14ac:dyDescent="0.25">
      <c r="A26" s="29" t="str">
        <f t="shared" si="0"/>
        <v>T4.3 Cape</v>
      </c>
      <c r="B26" s="24">
        <v>8000</v>
      </c>
      <c r="C26" s="24">
        <v>8500</v>
      </c>
      <c r="D26" s="24">
        <v>30000</v>
      </c>
      <c r="E26" s="45">
        <v>0.56499999999999995</v>
      </c>
      <c r="F26" s="24">
        <v>144</v>
      </c>
      <c r="G26" s="46">
        <f t="shared" si="1"/>
        <v>208.33333333333334</v>
      </c>
      <c r="H26" s="46">
        <v>800</v>
      </c>
      <c r="I26" s="46">
        <v>0</v>
      </c>
      <c r="J26" s="46">
        <v>0</v>
      </c>
      <c r="K26" s="46">
        <f>(J26-I26)/2</f>
        <v>0</v>
      </c>
      <c r="L26" s="46">
        <f>G26*(4*B26+4*C26)*E26+H26*G26+D26</f>
        <v>7965416.666666666</v>
      </c>
      <c r="M26" s="46">
        <f t="shared" si="2"/>
        <v>13687620.833333334</v>
      </c>
      <c r="N26" s="8">
        <f>M26-L26</f>
        <v>5722204.1666666679</v>
      </c>
      <c r="O26" s="50">
        <f>N26/L26</f>
        <v>0.71838102212690302</v>
      </c>
    </row>
    <row r="27" spans="1:15" x14ac:dyDescent="0.25">
      <c r="A27" s="31" t="str">
        <f t="shared" si="0"/>
        <v>T4.2 Cape</v>
      </c>
      <c r="B27" s="26">
        <v>1800</v>
      </c>
      <c r="C27" s="26">
        <v>1700</v>
      </c>
      <c r="D27" s="26">
        <v>0</v>
      </c>
      <c r="E27" s="47">
        <v>0.7</v>
      </c>
      <c r="F27" s="26">
        <v>30000</v>
      </c>
      <c r="G27" s="48">
        <f t="shared" si="1"/>
        <v>1</v>
      </c>
      <c r="H27" s="48">
        <v>130</v>
      </c>
      <c r="I27" s="48">
        <v>0</v>
      </c>
      <c r="J27" s="48">
        <v>0</v>
      </c>
      <c r="K27" s="48">
        <f>(J27-I27)/14</f>
        <v>0</v>
      </c>
      <c r="L27" s="48">
        <f>G27*(4*C27+4*B27)*E27+D27+1/14*I27+H27</f>
        <v>9930</v>
      </c>
      <c r="M27" s="48">
        <f>($B$8*B15+$C$8*C15+$D$8*D15+$E$8*E15+$F$8*F15)*$I$13*G27*0.93+J27*1/14</f>
        <v>12076.310400000002</v>
      </c>
      <c r="N27" s="8">
        <f t="shared" si="3"/>
        <v>2146.3104000000021</v>
      </c>
      <c r="O27" s="49">
        <f t="shared" ref="O27:O28" si="5">N27/L27</f>
        <v>0.21614404833836878</v>
      </c>
    </row>
    <row r="28" spans="1:15" ht="15.75" thickBot="1" x14ac:dyDescent="0.3">
      <c r="A28" s="33" t="str">
        <f t="shared" si="0"/>
        <v>T6 Sickle</v>
      </c>
      <c r="B28" s="34">
        <v>500</v>
      </c>
      <c r="C28" s="34">
        <v>650</v>
      </c>
      <c r="D28" s="34">
        <v>0</v>
      </c>
      <c r="E28" s="51">
        <v>0.84799999999999998</v>
      </c>
      <c r="F28" s="34">
        <v>30000</v>
      </c>
      <c r="G28" s="52">
        <f t="shared" si="1"/>
        <v>1</v>
      </c>
      <c r="H28" s="52">
        <v>500</v>
      </c>
      <c r="I28" s="52">
        <f>3500/3</f>
        <v>1166.6666666666667</v>
      </c>
      <c r="J28" s="52">
        <f>6500/3</f>
        <v>2166.6666666666665</v>
      </c>
      <c r="K28" s="52">
        <f>(J28-I28)</f>
        <v>999.99999999999977</v>
      </c>
      <c r="L28" s="34">
        <f>G28*(20*B28+10*C28)*E28+D28+G28*I28+H28*G28</f>
        <v>15658.666666666666</v>
      </c>
      <c r="M28" s="52">
        <f>($B$8*B16+$C$8*C16+$D$8*D16+$E$8*E16+$F$8*F16)*$I$13*G28+J28*G28</f>
        <v>21801.666666666668</v>
      </c>
      <c r="N28" s="20">
        <f t="shared" si="3"/>
        <v>6143.0000000000018</v>
      </c>
      <c r="O28" s="53">
        <f t="shared" si="5"/>
        <v>0.39230670980926441</v>
      </c>
    </row>
  </sheetData>
  <mergeCells count="2">
    <mergeCell ref="H8:I8"/>
    <mergeCell ref="C2:L2"/>
  </mergeCells>
  <conditionalFormatting sqref="N21:N28">
    <cfRule type="cellIs" dxfId="5" priority="2" operator="greaterThan">
      <formula>5000000</formula>
    </cfRule>
    <cfRule type="cellIs" dxfId="4" priority="5" operator="lessThan">
      <formula>3000000</formula>
    </cfRule>
    <cfRule type="cellIs" dxfId="3" priority="6" operator="greaterThan">
      <formula>3000000</formula>
    </cfRule>
  </conditionalFormatting>
  <conditionalFormatting sqref="O21:O28">
    <cfRule type="cellIs" dxfId="2" priority="1" operator="greaterThan">
      <formula>0.6</formula>
    </cfRule>
    <cfRule type="cellIs" dxfId="1" priority="3" operator="greaterThan">
      <formula>0.3</formula>
    </cfRule>
    <cfRule type="cellIs" dxfId="0" priority="4" operator="lessThan">
      <formula>0.3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7766-BFF3-4984-959F-A63FD9590759}">
  <dimension ref="F5:N33"/>
  <sheetViews>
    <sheetView topLeftCell="A4" workbookViewId="0">
      <selection activeCell="K15" sqref="K15:M15"/>
    </sheetView>
  </sheetViews>
  <sheetFormatPr defaultRowHeight="15" x14ac:dyDescent="0.25"/>
  <cols>
    <col min="6" max="6" width="25.5703125" bestFit="1" customWidth="1"/>
    <col min="7" max="7" width="12" bestFit="1" customWidth="1"/>
    <col min="8" max="8" width="8" bestFit="1" customWidth="1"/>
    <col min="9" max="9" width="10.28515625" bestFit="1" customWidth="1"/>
    <col min="10" max="10" width="15.85546875" bestFit="1" customWidth="1"/>
    <col min="11" max="11" width="13.28515625" customWidth="1"/>
    <col min="12" max="12" width="12.140625" customWidth="1"/>
    <col min="13" max="13" width="11.5703125" customWidth="1"/>
    <col min="14" max="15" width="10.28515625" bestFit="1" customWidth="1"/>
  </cols>
  <sheetData>
    <row r="5" spans="6:14" ht="15.75" thickBot="1" x14ac:dyDescent="0.3"/>
    <row r="6" spans="6:14" ht="24" thickBot="1" x14ac:dyDescent="0.4">
      <c r="F6" s="182" t="s">
        <v>47</v>
      </c>
      <c r="G6" s="183"/>
      <c r="H6" s="183"/>
      <c r="I6" s="183"/>
      <c r="J6" s="183"/>
      <c r="K6" s="183"/>
      <c r="L6" s="184"/>
    </row>
    <row r="10" spans="6:14" ht="15.75" thickBot="1" x14ac:dyDescent="0.3"/>
    <row r="11" spans="6:14" ht="21.75" thickBot="1" x14ac:dyDescent="0.4">
      <c r="F11" s="179" t="s">
        <v>58</v>
      </c>
      <c r="G11" s="180"/>
      <c r="H11" s="180"/>
      <c r="I11" s="181"/>
      <c r="K11" s="179" t="s">
        <v>66</v>
      </c>
      <c r="L11" s="180"/>
      <c r="M11" s="180"/>
      <c r="N11" s="181"/>
    </row>
    <row r="12" spans="6:14" ht="15.75" thickBot="1" x14ac:dyDescent="0.3">
      <c r="F12" s="99" t="s">
        <v>49</v>
      </c>
      <c r="G12" s="100" t="s">
        <v>51</v>
      </c>
      <c r="H12" s="100" t="s">
        <v>48</v>
      </c>
      <c r="I12" s="101" t="s">
        <v>52</v>
      </c>
      <c r="K12" s="159" t="s">
        <v>49</v>
      </c>
      <c r="L12" s="118" t="s">
        <v>51</v>
      </c>
      <c r="M12" s="118" t="s">
        <v>59</v>
      </c>
      <c r="N12" s="119" t="s">
        <v>52</v>
      </c>
    </row>
    <row r="13" spans="6:14" x14ac:dyDescent="0.25">
      <c r="F13" s="123" t="s">
        <v>50</v>
      </c>
      <c r="G13">
        <v>5</v>
      </c>
      <c r="H13">
        <v>540000</v>
      </c>
      <c r="I13" s="18">
        <f>G13*H13</f>
        <v>2700000</v>
      </c>
      <c r="K13" s="159" t="s">
        <v>60</v>
      </c>
      <c r="L13" s="90">
        <v>15</v>
      </c>
      <c r="M13" s="90">
        <f>60000</f>
        <v>60000</v>
      </c>
      <c r="N13" s="91">
        <f t="shared" ref="N13:N14" si="0">L13*M13</f>
        <v>900000</v>
      </c>
    </row>
    <row r="14" spans="6:14" ht="15.75" thickBot="1" x14ac:dyDescent="0.3">
      <c r="F14" s="123" t="s">
        <v>53</v>
      </c>
      <c r="G14">
        <v>15</v>
      </c>
      <c r="H14">
        <v>60000</v>
      </c>
      <c r="I14" s="18">
        <f t="shared" ref="I14:I15" si="1">G14*H14</f>
        <v>900000</v>
      </c>
      <c r="K14" s="160" t="s">
        <v>61</v>
      </c>
      <c r="L14" s="11">
        <f>15*11</f>
        <v>165</v>
      </c>
      <c r="M14" s="11">
        <v>1200</v>
      </c>
      <c r="N14" s="12">
        <f t="shared" si="0"/>
        <v>198000</v>
      </c>
    </row>
    <row r="15" spans="6:14" ht="15.75" thickBot="1" x14ac:dyDescent="0.3">
      <c r="F15" s="160" t="s">
        <v>54</v>
      </c>
      <c r="G15" s="11">
        <v>60</v>
      </c>
      <c r="H15" s="11">
        <f>10+15+20+115+190+128+500</f>
        <v>978</v>
      </c>
      <c r="I15" s="12">
        <f t="shared" si="1"/>
        <v>58680</v>
      </c>
      <c r="K15" s="140" t="s">
        <v>55</v>
      </c>
      <c r="L15" s="145"/>
      <c r="M15" s="145"/>
      <c r="N15" s="93">
        <f>SUM(N13:N14)</f>
        <v>1098000</v>
      </c>
    </row>
    <row r="16" spans="6:14" ht="15.75" thickBot="1" x14ac:dyDescent="0.3">
      <c r="F16" s="123" t="s">
        <v>57</v>
      </c>
      <c r="G16" s="2">
        <v>6.5000000000000002E-2</v>
      </c>
      <c r="H16" s="92" t="s">
        <v>55</v>
      </c>
      <c r="I16" s="94">
        <f>SUM(I13:I15)</f>
        <v>3658680</v>
      </c>
      <c r="K16" s="123" t="s">
        <v>62</v>
      </c>
      <c r="L16">
        <v>15</v>
      </c>
      <c r="M16">
        <v>210000</v>
      </c>
      <c r="N16" s="18">
        <f>L16*M16</f>
        <v>3150000</v>
      </c>
    </row>
    <row r="17" spans="6:14" ht="15.75" thickBot="1" x14ac:dyDescent="0.3">
      <c r="F17" s="19"/>
      <c r="G17" s="11"/>
      <c r="H17" s="19" t="s">
        <v>56</v>
      </c>
      <c r="I17" s="12">
        <f>I16*0.9</f>
        <v>3292812</v>
      </c>
      <c r="K17" s="140" t="s">
        <v>55</v>
      </c>
      <c r="L17" s="145"/>
      <c r="M17" s="145"/>
      <c r="N17" s="93">
        <f>N16</f>
        <v>3150000</v>
      </c>
    </row>
    <row r="19" spans="6:14" ht="15.75" thickBot="1" x14ac:dyDescent="0.3"/>
    <row r="20" spans="6:14" x14ac:dyDescent="0.25">
      <c r="F20" s="159" t="s">
        <v>63</v>
      </c>
      <c r="G20" s="91">
        <v>5</v>
      </c>
    </row>
    <row r="21" spans="6:14" x14ac:dyDescent="0.25">
      <c r="F21" s="123" t="s">
        <v>64</v>
      </c>
      <c r="G21" s="18">
        <v>13</v>
      </c>
    </row>
    <row r="22" spans="6:14" ht="15.75" thickBot="1" x14ac:dyDescent="0.3">
      <c r="F22" s="160" t="s">
        <v>65</v>
      </c>
      <c r="G22" s="95">
        <f>(N17-N15)*G20/G21</f>
        <v>789230.76923076925</v>
      </c>
    </row>
    <row r="30" spans="6:14" x14ac:dyDescent="0.25">
      <c r="F30" s="89"/>
    </row>
    <row r="33" spans="8:8" x14ac:dyDescent="0.25">
      <c r="H33" s="2"/>
    </row>
  </sheetData>
  <mergeCells count="5">
    <mergeCell ref="K15:M15"/>
    <mergeCell ref="K17:M17"/>
    <mergeCell ref="F6:L6"/>
    <mergeCell ref="F11:I11"/>
    <mergeCell ref="K11:N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1F0B-F086-4E4C-9E72-5D279ECB3992}">
  <dimension ref="C8:G17"/>
  <sheetViews>
    <sheetView workbookViewId="0">
      <selection activeCell="C11" sqref="C11"/>
    </sheetView>
  </sheetViews>
  <sheetFormatPr defaultRowHeight="15" x14ac:dyDescent="0.25"/>
  <cols>
    <col min="3" max="3" width="17.85546875" bestFit="1" customWidth="1"/>
    <col min="5" max="5" width="11.5703125" bestFit="1" customWidth="1"/>
    <col min="6" max="6" width="23.140625" bestFit="1" customWidth="1"/>
  </cols>
  <sheetData>
    <row r="8" spans="3:7" ht="15.75" thickBot="1" x14ac:dyDescent="0.3"/>
    <row r="9" spans="3:7" ht="21.75" thickBot="1" x14ac:dyDescent="0.4">
      <c r="C9" s="167" t="s">
        <v>80</v>
      </c>
      <c r="D9" s="168"/>
      <c r="E9" s="168"/>
      <c r="F9" s="168"/>
      <c r="G9" s="169"/>
    </row>
    <row r="10" spans="3:7" x14ac:dyDescent="0.25">
      <c r="C10" s="108" t="s">
        <v>70</v>
      </c>
      <c r="D10" s="98" t="s">
        <v>42</v>
      </c>
      <c r="E10" s="98" t="s">
        <v>45</v>
      </c>
      <c r="F10" s="98" t="s">
        <v>46</v>
      </c>
      <c r="G10" s="115" t="s">
        <v>79</v>
      </c>
    </row>
    <row r="11" spans="3:7" x14ac:dyDescent="0.25">
      <c r="C11" s="109" t="s">
        <v>71</v>
      </c>
      <c r="D11">
        <f>D13</f>
        <v>7500</v>
      </c>
      <c r="E11">
        <f>E13</f>
        <v>9000</v>
      </c>
      <c r="F11">
        <f>(E11*0.935-D11)*C17</f>
        <v>9150</v>
      </c>
      <c r="G11" s="105">
        <f>F11/(D11*$C$17)</f>
        <v>0.122</v>
      </c>
    </row>
    <row r="12" spans="3:7" x14ac:dyDescent="0.25">
      <c r="C12" s="109" t="s">
        <v>72</v>
      </c>
      <c r="D12">
        <v>8200</v>
      </c>
      <c r="E12">
        <v>10000</v>
      </c>
      <c r="F12">
        <f>(E12*0.96-D12*1.025)*C17</f>
        <v>11950</v>
      </c>
      <c r="G12" s="105">
        <f t="shared" ref="G12:G14" si="0">F12/(D12*$C$17)</f>
        <v>0.14573170731707316</v>
      </c>
    </row>
    <row r="13" spans="3:7" x14ac:dyDescent="0.25">
      <c r="C13" s="109" t="s">
        <v>73</v>
      </c>
      <c r="D13">
        <v>7500</v>
      </c>
      <c r="E13">
        <v>9000</v>
      </c>
      <c r="F13">
        <f>(E13*0.935-D13*1.025)*C17</f>
        <v>7275.0000000000091</v>
      </c>
      <c r="G13" s="105">
        <f t="shared" si="0"/>
        <v>9.7000000000000128E-2</v>
      </c>
    </row>
    <row r="14" spans="3:7" ht="15.75" thickBot="1" x14ac:dyDescent="0.3">
      <c r="C14" s="110" t="s">
        <v>74</v>
      </c>
      <c r="D14" s="11">
        <f t="shared" ref="D14:E14" si="1">D13</f>
        <v>7500</v>
      </c>
      <c r="E14" s="11">
        <f t="shared" si="1"/>
        <v>9000</v>
      </c>
      <c r="F14" s="11">
        <f>(E14*0.96-D14)*C17</f>
        <v>11400</v>
      </c>
      <c r="G14" s="107">
        <f t="shared" si="0"/>
        <v>0.152</v>
      </c>
    </row>
    <row r="15" spans="3:7" x14ac:dyDescent="0.25">
      <c r="C15" s="111" t="s">
        <v>75</v>
      </c>
      <c r="G15" s="18"/>
    </row>
    <row r="16" spans="3:7" x14ac:dyDescent="0.25">
      <c r="C16" s="112" t="s">
        <v>76</v>
      </c>
      <c r="D16" s="113" t="s">
        <v>77</v>
      </c>
      <c r="E16" s="113" t="s">
        <v>81</v>
      </c>
      <c r="F16" s="114" t="s">
        <v>78</v>
      </c>
      <c r="G16" s="18"/>
    </row>
    <row r="17" spans="3:7" ht="15.75" thickBot="1" x14ac:dyDescent="0.3">
      <c r="C17" s="19">
        <v>10</v>
      </c>
      <c r="D17" s="106">
        <v>3</v>
      </c>
      <c r="E17" s="11">
        <f>IF(D17=1,F11,IF(D17=2,F12,IF(D17=3,F13,IF(D17=4,F14,"źle"))))</f>
        <v>7275.0000000000091</v>
      </c>
      <c r="F17" s="20">
        <f>E17-C17*0.05*300*0.85</f>
        <v>7147.5000000000091</v>
      </c>
      <c r="G17" s="12"/>
    </row>
  </sheetData>
  <mergeCells count="1">
    <mergeCell ref="C9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9DA3-B6B0-4A28-9911-B418494FA524}">
  <dimension ref="C8:H14"/>
  <sheetViews>
    <sheetView workbookViewId="0">
      <selection activeCell="C9" sqref="C9:H9"/>
    </sheetView>
  </sheetViews>
  <sheetFormatPr defaultRowHeight="15" x14ac:dyDescent="0.25"/>
  <cols>
    <col min="3" max="3" width="17.5703125" bestFit="1" customWidth="1"/>
  </cols>
  <sheetData>
    <row r="8" spans="3:8" ht="15.75" thickBot="1" x14ac:dyDescent="0.3"/>
    <row r="9" spans="3:8" ht="24" thickBot="1" x14ac:dyDescent="0.4">
      <c r="C9" s="176" t="s">
        <v>12</v>
      </c>
      <c r="D9" s="177"/>
      <c r="E9" s="177"/>
      <c r="F9" s="177"/>
      <c r="G9" s="177"/>
      <c r="H9" s="178"/>
    </row>
    <row r="10" spans="3:8" x14ac:dyDescent="0.25">
      <c r="C10" s="116" t="s">
        <v>59</v>
      </c>
      <c r="D10" s="14">
        <v>1000000</v>
      </c>
      <c r="H10" s="3"/>
    </row>
    <row r="11" spans="3:8" x14ac:dyDescent="0.25">
      <c r="C11" s="117" t="s">
        <v>82</v>
      </c>
      <c r="D11">
        <v>10</v>
      </c>
      <c r="E11">
        <v>2</v>
      </c>
      <c r="F11">
        <v>1</v>
      </c>
      <c r="G11">
        <v>1</v>
      </c>
      <c r="H11" s="3"/>
    </row>
    <row r="12" spans="3:8" ht="15.75" thickBot="1" x14ac:dyDescent="0.3">
      <c r="C12" s="117" t="s">
        <v>86</v>
      </c>
      <c r="D12" s="6">
        <v>1</v>
      </c>
      <c r="E12" s="6">
        <v>0.75</v>
      </c>
      <c r="F12" s="6">
        <v>0.5</v>
      </c>
      <c r="G12" s="6">
        <v>0.25</v>
      </c>
      <c r="H12" s="3" t="s">
        <v>85</v>
      </c>
    </row>
    <row r="13" spans="3:8" hidden="1" x14ac:dyDescent="0.25">
      <c r="C13" s="117" t="s">
        <v>83</v>
      </c>
      <c r="D13">
        <f>D11*D12*4</f>
        <v>40</v>
      </c>
      <c r="E13">
        <f>E12*E11*4</f>
        <v>6</v>
      </c>
      <c r="F13">
        <f>F12*F11*4</f>
        <v>2</v>
      </c>
      <c r="G13">
        <f>G12*G11*4</f>
        <v>1</v>
      </c>
      <c r="H13" s="3">
        <f>SUM(D13:G13)</f>
        <v>49</v>
      </c>
    </row>
    <row r="14" spans="3:8" ht="15.75" thickBot="1" x14ac:dyDescent="0.3">
      <c r="C14" s="99" t="s">
        <v>84</v>
      </c>
      <c r="D14" s="87">
        <f>D10/H13*4</f>
        <v>81632.653061224497</v>
      </c>
      <c r="E14" s="87">
        <f>D10/H13*3</f>
        <v>61224.489795918373</v>
      </c>
      <c r="F14" s="87">
        <f>D10/H13*2</f>
        <v>40816.326530612248</v>
      </c>
      <c r="G14" s="88">
        <f>D10/H13*1</f>
        <v>20408.163265306124</v>
      </c>
      <c r="H14" s="7">
        <f>SUM(D14*D11+E14*E11+F14*F11+G14*G11)</f>
        <v>1000000.0000000001</v>
      </c>
    </row>
  </sheetData>
  <mergeCells count="1">
    <mergeCell ref="C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0B5D-8E0E-4C83-85D7-86057D8B81BD}">
  <dimension ref="C5:E15"/>
  <sheetViews>
    <sheetView workbookViewId="0">
      <selection activeCell="G6" sqref="G6"/>
    </sheetView>
  </sheetViews>
  <sheetFormatPr defaultRowHeight="15" x14ac:dyDescent="0.25"/>
  <cols>
    <col min="3" max="3" width="7.85546875" customWidth="1"/>
    <col min="4" max="4" width="23.85546875" customWidth="1"/>
    <col min="5" max="5" width="14.5703125" customWidth="1"/>
    <col min="6" max="6" width="15.42578125" bestFit="1" customWidth="1"/>
  </cols>
  <sheetData>
    <row r="5" spans="3:5" ht="15.75" thickBot="1" x14ac:dyDescent="0.3"/>
    <row r="6" spans="3:5" ht="21.75" thickBot="1" x14ac:dyDescent="0.4">
      <c r="C6" s="167" t="s">
        <v>87</v>
      </c>
      <c r="D6" s="168"/>
      <c r="E6" s="169"/>
    </row>
    <row r="7" spans="3:5" ht="15.75" thickBot="1" x14ac:dyDescent="0.3">
      <c r="C7" s="120" t="s">
        <v>49</v>
      </c>
      <c r="D7" s="118" t="s">
        <v>92</v>
      </c>
      <c r="E7" s="91">
        <v>150000</v>
      </c>
    </row>
    <row r="8" spans="3:5" x14ac:dyDescent="0.25">
      <c r="C8" s="120" t="s">
        <v>67</v>
      </c>
      <c r="D8" s="118" t="s">
        <v>90</v>
      </c>
      <c r="E8" s="119" t="s">
        <v>91</v>
      </c>
    </row>
    <row r="9" spans="3:5" x14ac:dyDescent="0.25">
      <c r="C9" s="121" t="s">
        <v>88</v>
      </c>
      <c r="D9">
        <v>3400000</v>
      </c>
      <c r="E9" s="18">
        <f>D9-$E$7</f>
        <v>3250000</v>
      </c>
    </row>
    <row r="10" spans="3:5" x14ac:dyDescent="0.25">
      <c r="C10" s="121" t="s">
        <v>6</v>
      </c>
      <c r="D10">
        <v>4317500</v>
      </c>
      <c r="E10" s="18">
        <f>D10-$E$7</f>
        <v>4167500</v>
      </c>
    </row>
    <row r="11" spans="3:5" x14ac:dyDescent="0.25">
      <c r="C11" s="121" t="s">
        <v>7</v>
      </c>
      <c r="D11">
        <v>4550000.0000000019</v>
      </c>
      <c r="E11" s="18">
        <f>D11-$E$7</f>
        <v>4400000.0000000019</v>
      </c>
    </row>
    <row r="12" spans="3:5" x14ac:dyDescent="0.25">
      <c r="C12" s="121" t="s">
        <v>8</v>
      </c>
      <c r="D12">
        <v>4525250.0000000019</v>
      </c>
      <c r="E12" s="18">
        <f>D12-$E$7</f>
        <v>4375250.0000000019</v>
      </c>
    </row>
    <row r="13" spans="3:5" ht="15.75" thickBot="1" x14ac:dyDescent="0.3">
      <c r="C13" s="122" t="s">
        <v>89</v>
      </c>
      <c r="D13" s="11">
        <v>5767500.0000000028</v>
      </c>
      <c r="E13" s="12">
        <f>D13-$E$7</f>
        <v>5617500.0000000028</v>
      </c>
    </row>
    <row r="14" spans="3:5" x14ac:dyDescent="0.25">
      <c r="C14" s="123" t="s">
        <v>77</v>
      </c>
      <c r="D14" s="114" t="s">
        <v>93</v>
      </c>
      <c r="E14" s="124" t="s">
        <v>94</v>
      </c>
    </row>
    <row r="15" spans="3:5" ht="15.75" thickBot="1" x14ac:dyDescent="0.3">
      <c r="C15" s="19">
        <v>1</v>
      </c>
      <c r="D15" s="11">
        <v>5</v>
      </c>
      <c r="E15" s="12">
        <f>IF(C15=1,E9*D15,IF(C15=2,E10*D15,IF(C15=3,E11*D15,IF(C15=4,E12*D15,IF(C15=5,E13*D15,"zła wartość")))))</f>
        <v>16250000</v>
      </c>
    </row>
  </sheetData>
  <mergeCells count="1">
    <mergeCell ref="C6:E6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445E-855B-44C7-BEB8-1C1BCDD52DEC}">
  <dimension ref="D7:N44"/>
  <sheetViews>
    <sheetView workbookViewId="0">
      <selection activeCell="D14" sqref="D14:G14"/>
    </sheetView>
  </sheetViews>
  <sheetFormatPr defaultColWidth="9.28515625" defaultRowHeight="15" x14ac:dyDescent="0.25"/>
  <cols>
    <col min="4" max="4" width="37" bestFit="1" customWidth="1"/>
    <col min="5" max="5" width="10.140625" bestFit="1" customWidth="1"/>
    <col min="6" max="6" width="9.140625" bestFit="1" customWidth="1"/>
    <col min="7" max="7" width="9.42578125" bestFit="1" customWidth="1"/>
    <col min="8" max="8" width="12.28515625" bestFit="1" customWidth="1"/>
    <col min="9" max="9" width="12" bestFit="1" customWidth="1"/>
    <col min="10" max="10" width="10.7109375" bestFit="1" customWidth="1"/>
    <col min="11" max="11" width="25.5703125" bestFit="1" customWidth="1"/>
    <col min="12" max="12" width="10.140625" bestFit="1" customWidth="1"/>
    <col min="13" max="13" width="9.140625" bestFit="1" customWidth="1"/>
    <col min="14" max="14" width="13.7109375" bestFit="1" customWidth="1"/>
  </cols>
  <sheetData>
    <row r="7" spans="4:14" ht="15.75" thickBot="1" x14ac:dyDescent="0.3"/>
    <row r="8" spans="4:14" ht="21.75" thickBot="1" x14ac:dyDescent="0.4">
      <c r="D8" s="170" t="s">
        <v>43</v>
      </c>
      <c r="E8" s="171"/>
      <c r="F8" s="171"/>
      <c r="G8" s="172"/>
      <c r="K8" s="167" t="s">
        <v>44</v>
      </c>
      <c r="L8" s="168"/>
      <c r="M8" s="168"/>
      <c r="N8" s="169"/>
    </row>
    <row r="9" spans="4:14" x14ac:dyDescent="0.25">
      <c r="D9" s="60" t="s">
        <v>5</v>
      </c>
      <c r="E9" s="61">
        <f>96*(40+180)*1.025</f>
        <v>21647.999999999996</v>
      </c>
      <c r="F9" s="62">
        <v>7000</v>
      </c>
      <c r="G9" s="63" t="s">
        <v>35</v>
      </c>
      <c r="K9" s="84" t="s">
        <v>41</v>
      </c>
      <c r="L9" s="85" t="s">
        <v>42</v>
      </c>
      <c r="M9" s="86" t="s">
        <v>45</v>
      </c>
      <c r="N9" s="86" t="s">
        <v>46</v>
      </c>
    </row>
    <row r="10" spans="4:14" ht="15" customHeight="1" thickBot="1" x14ac:dyDescent="0.3">
      <c r="D10" s="64" t="s">
        <v>4</v>
      </c>
      <c r="E10" s="65">
        <f>96*(8+77)*1.025</f>
        <v>8364</v>
      </c>
      <c r="F10" s="66">
        <v>4000</v>
      </c>
      <c r="G10" s="67" t="s">
        <v>35</v>
      </c>
      <c r="K10" s="77">
        <f>1-(1/(1+0.33))</f>
        <v>0.24812030075187974</v>
      </c>
      <c r="L10" s="78">
        <f>(18*300+72*450+36*400+(200*45+400)*90)*0.565*1.025+3500</f>
        <v>523670.0749999999</v>
      </c>
      <c r="M10" s="79">
        <f>950000</f>
        <v>950000</v>
      </c>
      <c r="N10" s="104">
        <f>(M10*0.935-L10)*10000/650</f>
        <v>5608921.9230769249</v>
      </c>
    </row>
    <row r="11" spans="4:14" ht="15.75" customHeight="1" thickBot="1" x14ac:dyDescent="0.3">
      <c r="D11" s="164" t="s">
        <v>36</v>
      </c>
      <c r="E11" s="165" t="s">
        <v>37</v>
      </c>
      <c r="F11" s="165" t="s">
        <v>38</v>
      </c>
      <c r="G11" s="166" t="s">
        <v>39</v>
      </c>
      <c r="K11" s="80"/>
      <c r="L11" s="78">
        <f>(36*450+72*510+36*360+90*(210*15+400))*0.565*1.025+3000</f>
        <v>226183.19249999998</v>
      </c>
      <c r="M11" s="79">
        <f>300000</f>
        <v>300000</v>
      </c>
      <c r="N11" s="104">
        <f>(M11*0.935-L11)</f>
        <v>54316.807500000024</v>
      </c>
    </row>
    <row r="12" spans="4:14" x14ac:dyDescent="0.25">
      <c r="D12" s="68">
        <f>E10+F10</f>
        <v>12364</v>
      </c>
      <c r="E12" s="69">
        <f>E10*2+2*F10</f>
        <v>24728</v>
      </c>
      <c r="F12" s="69">
        <f>E10*3+3*F10</f>
        <v>37092</v>
      </c>
      <c r="G12" s="70">
        <f>E10*4+4*F10</f>
        <v>49456</v>
      </c>
    </row>
    <row r="13" spans="4:14" ht="15.75" thickBot="1" x14ac:dyDescent="0.3">
      <c r="D13" s="71">
        <f>E9+F9</f>
        <v>28647.999999999996</v>
      </c>
      <c r="E13" s="72">
        <f>E9*2+2*F9</f>
        <v>57295.999999999993</v>
      </c>
      <c r="F13" s="72">
        <f>E9*3+3*F9</f>
        <v>85943.999999999985</v>
      </c>
      <c r="G13" s="73">
        <f>E9*4+4*F9</f>
        <v>114591.99999999999</v>
      </c>
    </row>
    <row r="14" spans="4:14" ht="19.5" thickBot="1" x14ac:dyDescent="0.35">
      <c r="D14" s="173" t="s">
        <v>40</v>
      </c>
      <c r="E14" s="174"/>
      <c r="F14" s="174"/>
      <c r="G14" s="175"/>
    </row>
    <row r="15" spans="4:14" ht="19.5" thickBot="1" x14ac:dyDescent="0.35">
      <c r="D15" s="74">
        <v>18000</v>
      </c>
      <c r="E15" s="75">
        <v>28000</v>
      </c>
      <c r="F15" s="75">
        <v>50000</v>
      </c>
      <c r="G15" s="76">
        <v>70000</v>
      </c>
      <c r="K15" s="170" t="s">
        <v>11</v>
      </c>
      <c r="L15" s="171"/>
      <c r="M15" s="171"/>
      <c r="N15" s="172"/>
    </row>
    <row r="16" spans="4:14" ht="15.75" thickBot="1" x14ac:dyDescent="0.3">
      <c r="D16" s="81">
        <v>45000</v>
      </c>
      <c r="E16" s="82">
        <v>80000</v>
      </c>
      <c r="F16" s="82">
        <v>120000</v>
      </c>
      <c r="G16" s="83">
        <v>160000</v>
      </c>
      <c r="K16" s="99" t="s">
        <v>67</v>
      </c>
      <c r="L16" s="162" t="s">
        <v>68</v>
      </c>
      <c r="M16" s="162" t="s">
        <v>45</v>
      </c>
      <c r="N16" s="163" t="s">
        <v>69</v>
      </c>
    </row>
    <row r="17" spans="4:14" ht="15.75" thickBot="1" x14ac:dyDescent="0.3">
      <c r="D17" s="150">
        <f>E13</f>
        <v>57295.999999999993</v>
      </c>
      <c r="E17" s="151"/>
      <c r="F17" s="152">
        <f>(IF(D17=D12,D15,IF(D17=E12,E15,IF(D17=F12,F15,IF(D17=G12,G15,IF(D17=D13,D16,IF(D17=E13,E16,IF(D17=F13,F16,IF(D17=G13,G16,1))))))))*0.935-D17)/D17</f>
        <v>0.30550125663222583</v>
      </c>
      <c r="G17" s="153"/>
      <c r="K17" s="96" t="s">
        <v>1</v>
      </c>
      <c r="L17" s="9">
        <f>0.848*(20*800+10*700)+1000</f>
        <v>20504</v>
      </c>
      <c r="M17" s="9">
        <v>29000</v>
      </c>
      <c r="N17" s="102">
        <f>(M17*0.935/(L17))-1</f>
        <v>0.32242489270386265</v>
      </c>
    </row>
    <row r="18" spans="4:14" x14ac:dyDescent="0.25">
      <c r="K18" s="96" t="s">
        <v>0</v>
      </c>
      <c r="L18" s="9">
        <f>0.848*(20*230+10*200)+500</f>
        <v>6096.8</v>
      </c>
      <c r="M18" s="9">
        <v>11000</v>
      </c>
      <c r="N18" s="102">
        <f t="shared" ref="N18:N20" si="0">(M18*0.935/(L18))-1</f>
        <v>0.68695053142632201</v>
      </c>
    </row>
    <row r="19" spans="4:14" ht="15.75" thickBot="1" x14ac:dyDescent="0.3">
      <c r="K19" s="96" t="s">
        <v>2</v>
      </c>
      <c r="L19" s="9">
        <f>0.848*(20*200+10*170)</f>
        <v>4833.5999999999995</v>
      </c>
      <c r="M19" s="9">
        <v>6000</v>
      </c>
      <c r="N19" s="102">
        <f t="shared" si="0"/>
        <v>0.16062562065541219</v>
      </c>
    </row>
    <row r="20" spans="4:14" ht="15.75" thickBot="1" x14ac:dyDescent="0.3">
      <c r="D20" s="146" t="s">
        <v>97</v>
      </c>
      <c r="E20" s="147"/>
      <c r="F20" s="147"/>
      <c r="G20" s="132">
        <v>30</v>
      </c>
      <c r="K20" s="97" t="s">
        <v>3</v>
      </c>
      <c r="L20" s="13">
        <f>0.848*(20*40+10*25)</f>
        <v>890.4</v>
      </c>
      <c r="M20" s="13">
        <v>2500</v>
      </c>
      <c r="N20" s="103">
        <f t="shared" si="0"/>
        <v>1.6252246181491463</v>
      </c>
    </row>
    <row r="21" spans="4:14" ht="15.75" thickBot="1" x14ac:dyDescent="0.3">
      <c r="D21" s="148" t="s">
        <v>95</v>
      </c>
      <c r="E21" s="149"/>
      <c r="F21" s="149"/>
      <c r="G21" s="131">
        <v>210</v>
      </c>
    </row>
    <row r="22" spans="4:14" x14ac:dyDescent="0.25">
      <c r="D22" s="125" t="s">
        <v>96</v>
      </c>
      <c r="E22" s="10" t="s">
        <v>98</v>
      </c>
      <c r="F22" s="10" t="s">
        <v>45</v>
      </c>
      <c r="G22" s="126" t="s">
        <v>99</v>
      </c>
    </row>
    <row r="23" spans="4:14" x14ac:dyDescent="0.25">
      <c r="D23" s="125" t="s">
        <v>100</v>
      </c>
      <c r="E23" s="10">
        <f>96*($G$20+$G$21)+8000</f>
        <v>31040</v>
      </c>
      <c r="F23" s="10">
        <v>50000</v>
      </c>
      <c r="G23" s="129">
        <f>(F23*0.935-E23)/E23</f>
        <v>0.50612113402061853</v>
      </c>
    </row>
    <row r="24" spans="4:14" ht="15.75" thickBot="1" x14ac:dyDescent="0.3">
      <c r="D24" s="125" t="s">
        <v>101</v>
      </c>
      <c r="E24" s="10">
        <f>192*($G$20+$G$21)+17000</f>
        <v>63080</v>
      </c>
      <c r="F24" s="10">
        <v>100000</v>
      </c>
      <c r="G24" s="129">
        <f>(F24*0.935-E24)/E24</f>
        <v>0.48224476854787574</v>
      </c>
    </row>
    <row r="25" spans="4:14" ht="21.75" thickBot="1" x14ac:dyDescent="0.4">
      <c r="D25" s="125" t="s">
        <v>102</v>
      </c>
      <c r="E25" s="10">
        <f>288*($G$20+$G$21)+20000</f>
        <v>89120</v>
      </c>
      <c r="F25" s="10">
        <v>160000</v>
      </c>
      <c r="G25" s="129">
        <f>(F25*0.935-E25)/E25</f>
        <v>0.67863554757630162</v>
      </c>
      <c r="K25" s="167" t="s">
        <v>127</v>
      </c>
      <c r="L25" s="168"/>
      <c r="M25" s="168"/>
      <c r="N25" s="169"/>
    </row>
    <row r="26" spans="4:14" ht="15.75" thickBot="1" x14ac:dyDescent="0.3">
      <c r="D26" s="125" t="s">
        <v>103</v>
      </c>
      <c r="E26" s="10">
        <f>384*($G$20+$G$21)+24000</f>
        <v>116160</v>
      </c>
      <c r="F26" s="10">
        <v>200000</v>
      </c>
      <c r="G26" s="129">
        <f>(F26*0.935-E26)/E26</f>
        <v>0.60984848484848486</v>
      </c>
      <c r="K26" s="133" t="s">
        <v>106</v>
      </c>
      <c r="L26" s="134" t="s">
        <v>67</v>
      </c>
      <c r="M26" s="135" t="s">
        <v>107</v>
      </c>
      <c r="N26" s="136" t="s">
        <v>108</v>
      </c>
    </row>
    <row r="27" spans="4:14" ht="15.75" thickBot="1" x14ac:dyDescent="0.3">
      <c r="D27" s="146" t="s">
        <v>104</v>
      </c>
      <c r="E27" s="147"/>
      <c r="F27" s="147"/>
      <c r="G27" s="132">
        <v>9</v>
      </c>
      <c r="K27" s="137">
        <v>8</v>
      </c>
      <c r="L27" s="138">
        <v>5</v>
      </c>
      <c r="M27" s="138">
        <v>1</v>
      </c>
      <c r="N27" s="139">
        <f>128*4.75*(2*L27-8)*(M27+1)*(K27/8)</f>
        <v>2432</v>
      </c>
    </row>
    <row r="28" spans="4:14" ht="15.75" thickBot="1" x14ac:dyDescent="0.3">
      <c r="D28" s="148" t="s">
        <v>105</v>
      </c>
      <c r="E28" s="149"/>
      <c r="F28" s="149"/>
      <c r="G28" s="131">
        <v>80</v>
      </c>
    </row>
    <row r="29" spans="4:14" x14ac:dyDescent="0.25">
      <c r="D29" s="125" t="s">
        <v>96</v>
      </c>
      <c r="E29" s="10" t="s">
        <v>68</v>
      </c>
      <c r="F29" s="10" t="s">
        <v>45</v>
      </c>
      <c r="G29" s="126" t="s">
        <v>99</v>
      </c>
    </row>
    <row r="30" spans="4:14" x14ac:dyDescent="0.25">
      <c r="D30" s="125" t="s">
        <v>100</v>
      </c>
      <c r="E30" s="10">
        <f>96*($G$27+$G$28)+900</f>
        <v>9444</v>
      </c>
      <c r="F30" s="10">
        <v>15000</v>
      </c>
      <c r="G30" s="129">
        <f>(F30*0.935-E30)/E30</f>
        <v>0.48506988564167725</v>
      </c>
    </row>
    <row r="31" spans="4:14" x14ac:dyDescent="0.25">
      <c r="D31" s="125" t="s">
        <v>101</v>
      </c>
      <c r="E31" s="10">
        <f>192*($G$27+$G$28)+2000</f>
        <v>19088</v>
      </c>
      <c r="F31" s="10">
        <v>32000</v>
      </c>
      <c r="G31" s="129">
        <f>(F31*0.935-E31)/E31</f>
        <v>0.56747694886839894</v>
      </c>
    </row>
    <row r="32" spans="4:14" x14ac:dyDescent="0.25">
      <c r="D32" s="125" t="s">
        <v>102</v>
      </c>
      <c r="E32" s="10">
        <f>288*($G$27+$G$28)+3000</f>
        <v>28632</v>
      </c>
      <c r="F32" s="10">
        <v>49000</v>
      </c>
      <c r="G32" s="129">
        <f>(F32*0.935-E32)/E32</f>
        <v>0.60013271863649065</v>
      </c>
      <c r="K32" s="157"/>
      <c r="L32" s="157"/>
    </row>
    <row r="33" spans="4:12" ht="15.75" thickBot="1" x14ac:dyDescent="0.3">
      <c r="D33" s="127" t="s">
        <v>103</v>
      </c>
      <c r="E33" s="128">
        <f>384*($G$27+$G$28)+2000</f>
        <v>36176</v>
      </c>
      <c r="F33" s="128">
        <v>56000</v>
      </c>
      <c r="G33" s="130">
        <f>(F33*0.935-E33)/E33</f>
        <v>0.44736842105263158</v>
      </c>
      <c r="K33" s="157"/>
      <c r="L33" s="157"/>
    </row>
    <row r="34" spans="4:12" x14ac:dyDescent="0.25">
      <c r="K34" s="157"/>
      <c r="L34" s="157"/>
    </row>
    <row r="35" spans="4:12" x14ac:dyDescent="0.25">
      <c r="K35" s="157"/>
      <c r="L35" s="157"/>
    </row>
    <row r="36" spans="4:12" x14ac:dyDescent="0.25">
      <c r="K36" s="157"/>
      <c r="L36" s="157"/>
    </row>
    <row r="37" spans="4:12" x14ac:dyDescent="0.25">
      <c r="K37" s="157"/>
      <c r="L37" s="157"/>
    </row>
    <row r="38" spans="4:12" x14ac:dyDescent="0.25">
      <c r="K38" s="157"/>
      <c r="L38" s="157"/>
    </row>
    <row r="39" spans="4:12" x14ac:dyDescent="0.25">
      <c r="K39" s="157"/>
      <c r="L39" s="158"/>
    </row>
    <row r="40" spans="4:12" x14ac:dyDescent="0.25">
      <c r="K40" s="157"/>
      <c r="L40" s="157"/>
    </row>
    <row r="41" spans="4:12" x14ac:dyDescent="0.25">
      <c r="K41" s="157"/>
      <c r="L41" s="157"/>
    </row>
    <row r="42" spans="4:12" x14ac:dyDescent="0.25">
      <c r="K42" s="157"/>
      <c r="L42" s="157"/>
    </row>
    <row r="43" spans="4:12" x14ac:dyDescent="0.25">
      <c r="K43" s="157"/>
      <c r="L43" s="157"/>
    </row>
    <row r="44" spans="4:12" x14ac:dyDescent="0.25">
      <c r="K44" s="157"/>
      <c r="L44" s="157"/>
    </row>
  </sheetData>
  <mergeCells count="11">
    <mergeCell ref="K8:N8"/>
    <mergeCell ref="K15:N15"/>
    <mergeCell ref="K25:N25"/>
    <mergeCell ref="D8:G8"/>
    <mergeCell ref="D20:F20"/>
    <mergeCell ref="D21:F21"/>
    <mergeCell ref="D27:F27"/>
    <mergeCell ref="D28:F28"/>
    <mergeCell ref="D14:G14"/>
    <mergeCell ref="D17:E17"/>
    <mergeCell ref="F17:G1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1F13-87A9-4ED2-8F97-FA47AC8A84E8}">
  <dimension ref="A8:D21"/>
  <sheetViews>
    <sheetView tabSelected="1" workbookViewId="0">
      <selection activeCell="G17" sqref="G17"/>
    </sheetView>
  </sheetViews>
  <sheetFormatPr defaultRowHeight="15" x14ac:dyDescent="0.25"/>
  <cols>
    <col min="1" max="1" width="17.42578125" customWidth="1"/>
    <col min="2" max="2" width="10.7109375" bestFit="1" customWidth="1"/>
    <col min="3" max="3" width="25" customWidth="1"/>
    <col min="4" max="4" width="23.5703125" customWidth="1"/>
  </cols>
  <sheetData>
    <row r="8" spans="1:4" ht="15.75" thickBot="1" x14ac:dyDescent="0.3"/>
    <row r="9" spans="1:4" ht="21.75" thickBot="1" x14ac:dyDescent="0.4">
      <c r="C9" s="167" t="s">
        <v>128</v>
      </c>
      <c r="D9" s="169"/>
    </row>
    <row r="10" spans="1:4" x14ac:dyDescent="0.25">
      <c r="C10" s="159" t="s">
        <v>123</v>
      </c>
      <c r="D10" s="161" t="s">
        <v>122</v>
      </c>
    </row>
    <row r="11" spans="1:4" x14ac:dyDescent="0.25">
      <c r="C11" s="123" t="s">
        <v>67</v>
      </c>
      <c r="D11" s="155">
        <v>5</v>
      </c>
    </row>
    <row r="12" spans="1:4" x14ac:dyDescent="0.25">
      <c r="C12" s="123" t="s">
        <v>107</v>
      </c>
      <c r="D12" s="155">
        <v>1</v>
      </c>
    </row>
    <row r="13" spans="1:4" x14ac:dyDescent="0.25">
      <c r="A13" s="156"/>
      <c r="B13" s="156"/>
      <c r="C13" s="123" t="s">
        <v>124</v>
      </c>
      <c r="D13" s="155">
        <v>10</v>
      </c>
    </row>
    <row r="14" spans="1:4" x14ac:dyDescent="0.25">
      <c r="C14" s="123" t="str">
        <f>_xlfn.TEXTJOIN(,,"Stone ","Block ",D11,".",D12)</f>
        <v>Stone Block 5.1</v>
      </c>
      <c r="D14" s="155">
        <v>1300</v>
      </c>
    </row>
    <row r="15" spans="1:4" x14ac:dyDescent="0.25">
      <c r="C15" s="123" t="str">
        <f>_xlfn.TEXTJOIN(,,"Stone ","Block ",D11-1,".",D12)</f>
        <v>Stone Block 4.1</v>
      </c>
      <c r="D15" s="155">
        <v>700</v>
      </c>
    </row>
    <row r="16" spans="1:4" ht="15.75" thickBot="1" x14ac:dyDescent="0.3">
      <c r="C16" s="123" t="str">
        <f>_xlfn.TEXTJOIN(,,"Stone ",D11-1,".",D12)</f>
        <v>Stone 4.1</v>
      </c>
      <c r="D16" s="155">
        <v>500</v>
      </c>
    </row>
    <row r="17" spans="3:4" x14ac:dyDescent="0.25">
      <c r="C17" s="159" t="s">
        <v>41</v>
      </c>
      <c r="D17" s="154">
        <f>IF(D10="TAK",1-(1/(1+0.4+0.18+0.59)),IF(D10="NIE",1-(1/(1+0.4+0.18))," WPISZ TAK LUB NIE W D2"))</f>
        <v>0.36708860759493667</v>
      </c>
    </row>
    <row r="18" spans="3:4" x14ac:dyDescent="0.25">
      <c r="C18" s="123" t="s">
        <v>68</v>
      </c>
      <c r="D18" s="18">
        <f>IF(D11&lt;8,(2^D12*D15+D16*(D11-2))*(1-D17)*(1.025),(2^D12*D15+D16*5)*(1-D17)*(1.025))</f>
        <v>1881.3291139240505</v>
      </c>
    </row>
    <row r="19" spans="3:4" x14ac:dyDescent="0.25">
      <c r="C19" s="123" t="s">
        <v>45</v>
      </c>
      <c r="D19" s="18">
        <f>2^D12*D14*(0.935)</f>
        <v>2431</v>
      </c>
    </row>
    <row r="20" spans="3:4" x14ac:dyDescent="0.25">
      <c r="C20" s="123" t="s">
        <v>125</v>
      </c>
      <c r="D20" s="18">
        <f>D19-D18</f>
        <v>549.67088607594951</v>
      </c>
    </row>
    <row r="21" spans="3:4" ht="15.75" thickBot="1" x14ac:dyDescent="0.3">
      <c r="C21" s="160" t="s">
        <v>126</v>
      </c>
      <c r="D21" s="12">
        <f>30000/D13*D20</f>
        <v>1649012.6582278486</v>
      </c>
    </row>
  </sheetData>
  <mergeCells count="1"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Items crafting</vt:lpstr>
      <vt:lpstr>Island</vt:lpstr>
      <vt:lpstr>Teleport + taxes</vt:lpstr>
      <vt:lpstr>Content settlement</vt:lpstr>
      <vt:lpstr>Caerleon Transport</vt:lpstr>
      <vt:lpstr>All other things</vt:lpstr>
      <vt:lpstr>Resource 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Dawid Sporysiak</cp:lastModifiedBy>
  <cp:revision/>
  <dcterms:created xsi:type="dcterms:W3CDTF">2022-05-09T15:35:41Z</dcterms:created>
  <dcterms:modified xsi:type="dcterms:W3CDTF">2026-05-05T18:51:12Z</dcterms:modified>
  <cp:category/>
  <cp:contentStatus/>
</cp:coreProperties>
</file>